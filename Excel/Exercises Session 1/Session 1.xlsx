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Diploma\Excel\Exercises Session 1\"/>
    </mc:Choice>
  </mc:AlternateContent>
  <xr:revisionPtr revIDLastSave="0" documentId="13_ncr:1_{E8ABB2D6-642E-40CF-909D-A75B56307CAB}" xr6:coauthVersionLast="47" xr6:coauthVersionMax="47" xr10:uidLastSave="{00000000-0000-0000-0000-000000000000}"/>
  <bookViews>
    <workbookView xWindow="-108" yWindow="-108" windowWidth="23256" windowHeight="13176" activeTab="2" xr2:uid="{CD4C2187-9B12-4F4C-99B1-771E8734590F}"/>
  </bookViews>
  <sheets>
    <sheet name="Exercise 1" sheetId="1" r:id="rId1"/>
    <sheet name="Exercise 2" sheetId="2" r:id="rId2"/>
    <sheet name="Exercise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3" l="1"/>
  <c r="I9" i="3"/>
  <c r="I13" i="3"/>
  <c r="I14" i="3"/>
  <c r="I20" i="3"/>
  <c r="I21" i="3"/>
  <c r="I25" i="3"/>
  <c r="I26" i="3"/>
  <c r="I32" i="3"/>
  <c r="I33" i="3"/>
  <c r="I37" i="3"/>
  <c r="I38" i="3"/>
  <c r="I44" i="3"/>
  <c r="I45" i="3"/>
  <c r="I49" i="3"/>
  <c r="I50" i="3"/>
  <c r="I56" i="3"/>
  <c r="I57" i="3"/>
  <c r="I61" i="3"/>
  <c r="I62" i="3"/>
  <c r="I68" i="3"/>
  <c r="I69" i="3"/>
  <c r="I73" i="3"/>
  <c r="I74" i="3"/>
  <c r="I80" i="3"/>
  <c r="I81" i="3"/>
  <c r="I85" i="3"/>
  <c r="I86" i="3"/>
  <c r="I92" i="3"/>
  <c r="I93" i="3"/>
  <c r="I97" i="3"/>
  <c r="I98" i="3"/>
  <c r="I104" i="3"/>
  <c r="I105" i="3"/>
  <c r="I109" i="3"/>
  <c r="I110" i="3"/>
  <c r="I116" i="3"/>
  <c r="I117" i="3"/>
  <c r="I121" i="3"/>
  <c r="I122" i="3"/>
  <c r="I128" i="3"/>
  <c r="I129" i="3"/>
  <c r="I133" i="3"/>
  <c r="I134" i="3"/>
  <c r="I140" i="3"/>
  <c r="I141" i="3"/>
  <c r="I145" i="3"/>
  <c r="I146" i="3"/>
  <c r="I152" i="3"/>
  <c r="I153" i="3"/>
  <c r="I157" i="3"/>
  <c r="I158" i="3"/>
  <c r="I164" i="3"/>
  <c r="I165" i="3"/>
  <c r="I169" i="3"/>
  <c r="I170" i="3"/>
  <c r="I176" i="3"/>
  <c r="I177" i="3"/>
  <c r="I181" i="3"/>
  <c r="I182" i="3"/>
  <c r="I188" i="3"/>
  <c r="I189" i="3"/>
  <c r="I193" i="3"/>
  <c r="I194" i="3"/>
  <c r="I200" i="3"/>
  <c r="I201" i="3"/>
  <c r="H2" i="3"/>
  <c r="I2" i="3" s="1"/>
  <c r="H3" i="3"/>
  <c r="I3" i="3" s="1"/>
  <c r="H4" i="3"/>
  <c r="I4" i="3" s="1"/>
  <c r="H5" i="3"/>
  <c r="I5" i="3" s="1"/>
  <c r="H6" i="3"/>
  <c r="I6" i="3" s="1"/>
  <c r="H7" i="3"/>
  <c r="I7" i="3" s="1"/>
  <c r="H8" i="3"/>
  <c r="H9" i="3"/>
  <c r="H10" i="3"/>
  <c r="I10" i="3" s="1"/>
  <c r="H11" i="3"/>
  <c r="I11" i="3" s="1"/>
  <c r="H12" i="3"/>
  <c r="I12" i="3" s="1"/>
  <c r="H13" i="3"/>
  <c r="H14" i="3"/>
  <c r="H15" i="3"/>
  <c r="I15" i="3" s="1"/>
  <c r="H16" i="3"/>
  <c r="I16" i="3" s="1"/>
  <c r="H17" i="3"/>
  <c r="I17" i="3" s="1"/>
  <c r="H18" i="3"/>
  <c r="I18" i="3" s="1"/>
  <c r="H19" i="3"/>
  <c r="I19" i="3" s="1"/>
  <c r="H20" i="3"/>
  <c r="H21" i="3"/>
  <c r="H22" i="3"/>
  <c r="I22" i="3" s="1"/>
  <c r="H23" i="3"/>
  <c r="I23" i="3" s="1"/>
  <c r="H24" i="3"/>
  <c r="I24" i="3" s="1"/>
  <c r="H25" i="3"/>
  <c r="H26" i="3"/>
  <c r="H27" i="3"/>
  <c r="I27" i="3" s="1"/>
  <c r="H28" i="3"/>
  <c r="I28" i="3" s="1"/>
  <c r="H29" i="3"/>
  <c r="I29" i="3" s="1"/>
  <c r="H30" i="3"/>
  <c r="I30" i="3" s="1"/>
  <c r="H31" i="3"/>
  <c r="I31" i="3" s="1"/>
  <c r="H32" i="3"/>
  <c r="H33" i="3"/>
  <c r="H34" i="3"/>
  <c r="I34" i="3" s="1"/>
  <c r="H35" i="3"/>
  <c r="I35" i="3" s="1"/>
  <c r="H36" i="3"/>
  <c r="I36" i="3" s="1"/>
  <c r="H37" i="3"/>
  <c r="H38" i="3"/>
  <c r="H39" i="3"/>
  <c r="I39" i="3" s="1"/>
  <c r="H40" i="3"/>
  <c r="I40" i="3" s="1"/>
  <c r="H41" i="3"/>
  <c r="I41" i="3" s="1"/>
  <c r="H42" i="3"/>
  <c r="I42" i="3" s="1"/>
  <c r="H43" i="3"/>
  <c r="I43" i="3" s="1"/>
  <c r="H44" i="3"/>
  <c r="H45" i="3"/>
  <c r="H46" i="3"/>
  <c r="I46" i="3" s="1"/>
  <c r="H47" i="3"/>
  <c r="I47" i="3" s="1"/>
  <c r="H48" i="3"/>
  <c r="I48" i="3" s="1"/>
  <c r="H49" i="3"/>
  <c r="H50" i="3"/>
  <c r="H51" i="3"/>
  <c r="I51" i="3" s="1"/>
  <c r="H52" i="3"/>
  <c r="I52" i="3" s="1"/>
  <c r="H53" i="3"/>
  <c r="I53" i="3" s="1"/>
  <c r="H54" i="3"/>
  <c r="I54" i="3" s="1"/>
  <c r="H55" i="3"/>
  <c r="I55" i="3" s="1"/>
  <c r="H56" i="3"/>
  <c r="H57" i="3"/>
  <c r="H58" i="3"/>
  <c r="I58" i="3" s="1"/>
  <c r="H59" i="3"/>
  <c r="I59" i="3" s="1"/>
  <c r="H60" i="3"/>
  <c r="I60" i="3" s="1"/>
  <c r="H61" i="3"/>
  <c r="H62" i="3"/>
  <c r="H63" i="3"/>
  <c r="I63" i="3" s="1"/>
  <c r="H64" i="3"/>
  <c r="I64" i="3" s="1"/>
  <c r="H65" i="3"/>
  <c r="I65" i="3" s="1"/>
  <c r="H66" i="3"/>
  <c r="I66" i="3" s="1"/>
  <c r="H67" i="3"/>
  <c r="I67" i="3" s="1"/>
  <c r="H68" i="3"/>
  <c r="H69" i="3"/>
  <c r="H70" i="3"/>
  <c r="I70" i="3" s="1"/>
  <c r="H71" i="3"/>
  <c r="I71" i="3" s="1"/>
  <c r="H72" i="3"/>
  <c r="I72" i="3" s="1"/>
  <c r="H73" i="3"/>
  <c r="H74" i="3"/>
  <c r="H75" i="3"/>
  <c r="I75" i="3" s="1"/>
  <c r="H76" i="3"/>
  <c r="I76" i="3" s="1"/>
  <c r="H77" i="3"/>
  <c r="I77" i="3" s="1"/>
  <c r="H78" i="3"/>
  <c r="I78" i="3" s="1"/>
  <c r="H79" i="3"/>
  <c r="I79" i="3" s="1"/>
  <c r="H80" i="3"/>
  <c r="H81" i="3"/>
  <c r="H82" i="3"/>
  <c r="I82" i="3" s="1"/>
  <c r="H83" i="3"/>
  <c r="I83" i="3" s="1"/>
  <c r="H84" i="3"/>
  <c r="I84" i="3" s="1"/>
  <c r="H85" i="3"/>
  <c r="H86" i="3"/>
  <c r="H87" i="3"/>
  <c r="I87" i="3" s="1"/>
  <c r="H88" i="3"/>
  <c r="I88" i="3" s="1"/>
  <c r="H89" i="3"/>
  <c r="I89" i="3" s="1"/>
  <c r="H90" i="3"/>
  <c r="I90" i="3" s="1"/>
  <c r="H91" i="3"/>
  <c r="I91" i="3" s="1"/>
  <c r="H92" i="3"/>
  <c r="H93" i="3"/>
  <c r="H94" i="3"/>
  <c r="I94" i="3" s="1"/>
  <c r="H95" i="3"/>
  <c r="I95" i="3" s="1"/>
  <c r="H96" i="3"/>
  <c r="I96" i="3" s="1"/>
  <c r="H97" i="3"/>
  <c r="H98" i="3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H105" i="3"/>
  <c r="H106" i="3"/>
  <c r="I106" i="3" s="1"/>
  <c r="H107" i="3"/>
  <c r="I107" i="3" s="1"/>
  <c r="H108" i="3"/>
  <c r="I108" i="3" s="1"/>
  <c r="H109" i="3"/>
  <c r="H110" i="3"/>
  <c r="H111" i="3"/>
  <c r="I111" i="3" s="1"/>
  <c r="H112" i="3"/>
  <c r="I112" i="3" s="1"/>
  <c r="H113" i="3"/>
  <c r="I113" i="3" s="1"/>
  <c r="H114" i="3"/>
  <c r="I114" i="3" s="1"/>
  <c r="H115" i="3"/>
  <c r="I115" i="3" s="1"/>
  <c r="H116" i="3"/>
  <c r="H117" i="3"/>
  <c r="H118" i="3"/>
  <c r="I118" i="3" s="1"/>
  <c r="H119" i="3"/>
  <c r="I119" i="3" s="1"/>
  <c r="H120" i="3"/>
  <c r="I120" i="3" s="1"/>
  <c r="H121" i="3"/>
  <c r="H122" i="3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H129" i="3"/>
  <c r="H130" i="3"/>
  <c r="I130" i="3" s="1"/>
  <c r="H131" i="3"/>
  <c r="I131" i="3" s="1"/>
  <c r="H132" i="3"/>
  <c r="I132" i="3" s="1"/>
  <c r="H133" i="3"/>
  <c r="H134" i="3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H141" i="3"/>
  <c r="H142" i="3"/>
  <c r="I142" i="3" s="1"/>
  <c r="H143" i="3"/>
  <c r="I143" i="3" s="1"/>
  <c r="H144" i="3"/>
  <c r="I144" i="3" s="1"/>
  <c r="H145" i="3"/>
  <c r="H146" i="3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H153" i="3"/>
  <c r="H154" i="3"/>
  <c r="I154" i="3" s="1"/>
  <c r="H155" i="3"/>
  <c r="I155" i="3" s="1"/>
  <c r="H156" i="3"/>
  <c r="I156" i="3" s="1"/>
  <c r="H157" i="3"/>
  <c r="H158" i="3"/>
  <c r="H159" i="3"/>
  <c r="I159" i="3" s="1"/>
  <c r="H160" i="3"/>
  <c r="I160" i="3" s="1"/>
  <c r="H161" i="3"/>
  <c r="I161" i="3" s="1"/>
  <c r="H162" i="3"/>
  <c r="I162" i="3" s="1"/>
  <c r="H163" i="3"/>
  <c r="I163" i="3" s="1"/>
  <c r="H164" i="3"/>
  <c r="H165" i="3"/>
  <c r="H166" i="3"/>
  <c r="I166" i="3" s="1"/>
  <c r="H167" i="3"/>
  <c r="I167" i="3" s="1"/>
  <c r="H168" i="3"/>
  <c r="I168" i="3" s="1"/>
  <c r="H169" i="3"/>
  <c r="H170" i="3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H177" i="3"/>
  <c r="H178" i="3"/>
  <c r="I178" i="3" s="1"/>
  <c r="H179" i="3"/>
  <c r="I179" i="3" s="1"/>
  <c r="H180" i="3"/>
  <c r="I180" i="3" s="1"/>
  <c r="H181" i="3"/>
  <c r="H182" i="3"/>
  <c r="H183" i="3"/>
  <c r="I183" i="3" s="1"/>
  <c r="H184" i="3"/>
  <c r="I184" i="3" s="1"/>
  <c r="H185" i="3"/>
  <c r="I185" i="3" s="1"/>
  <c r="H186" i="3"/>
  <c r="I186" i="3" s="1"/>
  <c r="H187" i="3"/>
  <c r="I187" i="3" s="1"/>
  <c r="H188" i="3"/>
  <c r="H189" i="3"/>
  <c r="H190" i="3"/>
  <c r="I190" i="3" s="1"/>
  <c r="H191" i="3"/>
  <c r="I191" i="3" s="1"/>
  <c r="H192" i="3"/>
  <c r="I192" i="3" s="1"/>
  <c r="H193" i="3"/>
  <c r="H194" i="3"/>
  <c r="H195" i="3"/>
  <c r="I195" i="3" s="1"/>
  <c r="H196" i="3"/>
  <c r="I196" i="3" s="1"/>
  <c r="H197" i="3"/>
  <c r="I197" i="3" s="1"/>
  <c r="H198" i="3"/>
  <c r="I198" i="3" s="1"/>
  <c r="H199" i="3"/>
  <c r="I199" i="3" s="1"/>
  <c r="H200" i="3"/>
  <c r="H201" i="3"/>
  <c r="G2" i="3" a="1"/>
  <c r="G2" i="3" s="1"/>
  <c r="F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2" i="2"/>
  <c r="J3" i="2" a="1"/>
  <c r="J3" i="2"/>
  <c r="J4" i="2" a="1"/>
  <c r="J4" i="2" s="1"/>
  <c r="J5" i="2" a="1"/>
  <c r="J5" i="2" s="1"/>
  <c r="J6" i="2" a="1"/>
  <c r="J6" i="2" s="1"/>
  <c r="J7" i="2" a="1"/>
  <c r="J7" i="2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2" i="2" a="1"/>
  <c r="J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2" i="2"/>
  <c r="I2" i="2"/>
  <c r="I2" i="1"/>
  <c r="H2" i="1" a="1"/>
  <c r="H2" i="1" s="1"/>
  <c r="G2" i="1" a="1"/>
  <c r="G2" i="1" s="1"/>
  <c r="F2" i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<sst xmlns="http://schemas.openxmlformats.org/spreadsheetml/2006/main" count="800" uniqueCount="324">
  <si>
    <t>Customer ID</t>
  </si>
  <si>
    <t>Name</t>
  </si>
  <si>
    <t>City</t>
  </si>
  <si>
    <t>Total Spend</t>
  </si>
  <si>
    <t>Last Purchase Date</t>
  </si>
  <si>
    <t>CUS-0001</t>
  </si>
  <si>
    <t>Ahmed Ali</t>
  </si>
  <si>
    <t>Cairo</t>
  </si>
  <si>
    <t>CUS-0002</t>
  </si>
  <si>
    <t>Mona Hassan</t>
  </si>
  <si>
    <t>Giza</t>
  </si>
  <si>
    <t>CUS-0003</t>
  </si>
  <si>
    <t>Omar Samir</t>
  </si>
  <si>
    <t>Alexandria</t>
  </si>
  <si>
    <t>CUS-0004</t>
  </si>
  <si>
    <t>Nour Adel</t>
  </si>
  <si>
    <t>Tanta</t>
  </si>
  <si>
    <t>CUS-0005</t>
  </si>
  <si>
    <t>Karim Nabil</t>
  </si>
  <si>
    <t>Mansoura</t>
  </si>
  <si>
    <t>CUS-0006</t>
  </si>
  <si>
    <t>Sara Tarek</t>
  </si>
  <si>
    <t>CUS-0007</t>
  </si>
  <si>
    <t>Youssef Mostafa</t>
  </si>
  <si>
    <t>CUS-0008</t>
  </si>
  <si>
    <t>Laila Khaled</t>
  </si>
  <si>
    <t>CUS-0009</t>
  </si>
  <si>
    <t>CUS-0010</t>
  </si>
  <si>
    <t>CUS-0011</t>
  </si>
  <si>
    <t>CUS-0012</t>
  </si>
  <si>
    <t>CUS-0013</t>
  </si>
  <si>
    <t>CUS-0014</t>
  </si>
  <si>
    <t>CUS-0015</t>
  </si>
  <si>
    <t>CUS-0016</t>
  </si>
  <si>
    <t>CUS-0017</t>
  </si>
  <si>
    <t>CUS-0018</t>
  </si>
  <si>
    <t>CUS-0019</t>
  </si>
  <si>
    <t>CUS-0020</t>
  </si>
  <si>
    <t>CUS-0021</t>
  </si>
  <si>
    <t>CUS-0022</t>
  </si>
  <si>
    <t>CUS-0023</t>
  </si>
  <si>
    <t>CUS-0024</t>
  </si>
  <si>
    <t>CUS-0025</t>
  </si>
  <si>
    <t>CUS-0026</t>
  </si>
  <si>
    <t>CUS-0027</t>
  </si>
  <si>
    <t>CUS-0028</t>
  </si>
  <si>
    <t>CUS-0029</t>
  </si>
  <si>
    <t>CUS-0030</t>
  </si>
  <si>
    <t>CUS-0031</t>
  </si>
  <si>
    <t>CUS-0032</t>
  </si>
  <si>
    <t>CUS-0033</t>
  </si>
  <si>
    <t>CUS-0034</t>
  </si>
  <si>
    <t>CUS-0035</t>
  </si>
  <si>
    <t>CUS-0036</t>
  </si>
  <si>
    <t>CUS-0037</t>
  </si>
  <si>
    <t>CUS-0038</t>
  </si>
  <si>
    <t>CUS-0039</t>
  </si>
  <si>
    <t>CUS-0040</t>
  </si>
  <si>
    <t>CUS-0041</t>
  </si>
  <si>
    <t>CUS-0042</t>
  </si>
  <si>
    <t>CUS-0043</t>
  </si>
  <si>
    <t>CUS-0044</t>
  </si>
  <si>
    <t>CUS-0045</t>
  </si>
  <si>
    <t>CUS-0046</t>
  </si>
  <si>
    <t>CUS-0047</t>
  </si>
  <si>
    <t>CUS-0048</t>
  </si>
  <si>
    <t>CUS-0049</t>
  </si>
  <si>
    <t>CUS-0050</t>
  </si>
  <si>
    <t>CUS-0051</t>
  </si>
  <si>
    <t>CUS-0052</t>
  </si>
  <si>
    <t>CUS-0053</t>
  </si>
  <si>
    <t>CUS-0054</t>
  </si>
  <si>
    <t>CUS-0055</t>
  </si>
  <si>
    <t>CUS-0056</t>
  </si>
  <si>
    <t>CUS-0057</t>
  </si>
  <si>
    <t>CUS-0058</t>
  </si>
  <si>
    <t>CUS-0059</t>
  </si>
  <si>
    <t>CUS-0060</t>
  </si>
  <si>
    <t>CUS-0061</t>
  </si>
  <si>
    <t>CUS-0062</t>
  </si>
  <si>
    <t>CUS-0063</t>
  </si>
  <si>
    <t>CUS-0064</t>
  </si>
  <si>
    <t>CUS-0065</t>
  </si>
  <si>
    <t>CUS-0066</t>
  </si>
  <si>
    <t>CUS-0067</t>
  </si>
  <si>
    <t>CUS-0068</t>
  </si>
  <si>
    <t>CUS-0069</t>
  </si>
  <si>
    <t>CUS-0070</t>
  </si>
  <si>
    <t>CUS-0071</t>
  </si>
  <si>
    <t>CUS-0072</t>
  </si>
  <si>
    <t>CUS-0073</t>
  </si>
  <si>
    <t>CUS-0074</t>
  </si>
  <si>
    <t>CUS-0075</t>
  </si>
  <si>
    <t>CUS-0076</t>
  </si>
  <si>
    <t>CUS-0077</t>
  </si>
  <si>
    <t>CUS-0078</t>
  </si>
  <si>
    <t>CUS-0079</t>
  </si>
  <si>
    <t>CUS-0080</t>
  </si>
  <si>
    <t>CUS-0081</t>
  </si>
  <si>
    <t>CUS-0082</t>
  </si>
  <si>
    <t>CUS-0083</t>
  </si>
  <si>
    <t>CUS-0084</t>
  </si>
  <si>
    <t>CUS-0085</t>
  </si>
  <si>
    <t>CUS-0086</t>
  </si>
  <si>
    <t>CUS-0087</t>
  </si>
  <si>
    <t>CUS-0088</t>
  </si>
  <si>
    <t>CUS-0089</t>
  </si>
  <si>
    <t>CUS-0090</t>
  </si>
  <si>
    <t>CUS-0091</t>
  </si>
  <si>
    <t>CUS-0092</t>
  </si>
  <si>
    <t>CUS-0093</t>
  </si>
  <si>
    <t>CUS-0094</t>
  </si>
  <si>
    <t>CUS-0095</t>
  </si>
  <si>
    <t>CUS-0096</t>
  </si>
  <si>
    <t>CUS-0097</t>
  </si>
  <si>
    <t>CUS-0098</t>
  </si>
  <si>
    <t>CUS-0099</t>
  </si>
  <si>
    <t>CUS-0100</t>
  </si>
  <si>
    <t>CUS-0101</t>
  </si>
  <si>
    <t>CUS-0102</t>
  </si>
  <si>
    <t>CUS-0103</t>
  </si>
  <si>
    <t>CUS-0104</t>
  </si>
  <si>
    <t>CUS-0105</t>
  </si>
  <si>
    <t>CUS-0106</t>
  </si>
  <si>
    <t>CUS-0107</t>
  </si>
  <si>
    <t>CUS-0108</t>
  </si>
  <si>
    <t>CUS-0109</t>
  </si>
  <si>
    <t>CUS-0110</t>
  </si>
  <si>
    <t>CUS-0111</t>
  </si>
  <si>
    <t>CUS-0112</t>
  </si>
  <si>
    <t>CUS-0113</t>
  </si>
  <si>
    <t>CUS-0114</t>
  </si>
  <si>
    <t>CUS-0115</t>
  </si>
  <si>
    <t>CUS-0116</t>
  </si>
  <si>
    <t>CUS-0117</t>
  </si>
  <si>
    <t>CUS-0118</t>
  </si>
  <si>
    <t>CUS-0119</t>
  </si>
  <si>
    <t>CUS-0120</t>
  </si>
  <si>
    <t>CUS-0121</t>
  </si>
  <si>
    <t>CUS-0122</t>
  </si>
  <si>
    <t>CUS-0123</t>
  </si>
  <si>
    <t>CUS-0124</t>
  </si>
  <si>
    <t>CUS-0125</t>
  </si>
  <si>
    <t>CUS-0126</t>
  </si>
  <si>
    <t>CUS-0127</t>
  </si>
  <si>
    <t>CUS-0128</t>
  </si>
  <si>
    <t>CUS-0129</t>
  </si>
  <si>
    <t>CUS-0130</t>
  </si>
  <si>
    <t>CUS-0131</t>
  </si>
  <si>
    <t>CUS-0132</t>
  </si>
  <si>
    <t>CUS-0133</t>
  </si>
  <si>
    <t>CUS-0134</t>
  </si>
  <si>
    <t>CUS-0135</t>
  </si>
  <si>
    <t>CUS-0136</t>
  </si>
  <si>
    <t>CUS-0137</t>
  </si>
  <si>
    <t>CUS-0138</t>
  </si>
  <si>
    <t>CUS-0139</t>
  </si>
  <si>
    <t>CUS-0140</t>
  </si>
  <si>
    <t>CUS-0141</t>
  </si>
  <si>
    <t>CUS-0142</t>
  </si>
  <si>
    <t>CUS-0143</t>
  </si>
  <si>
    <t>CUS-0144</t>
  </si>
  <si>
    <t>CUS-0145</t>
  </si>
  <si>
    <t>CUS-0146</t>
  </si>
  <si>
    <t>CUS-0147</t>
  </si>
  <si>
    <t>CUS-0148</t>
  </si>
  <si>
    <t>CUS-0149</t>
  </si>
  <si>
    <t>CUS-0150</t>
  </si>
  <si>
    <t>CUS-0151</t>
  </si>
  <si>
    <t>CUS-0152</t>
  </si>
  <si>
    <t>CUS-0153</t>
  </si>
  <si>
    <t>CUS-0154</t>
  </si>
  <si>
    <t>CUS-0155</t>
  </si>
  <si>
    <t>CUS-0156</t>
  </si>
  <si>
    <t>CUS-0157</t>
  </si>
  <si>
    <t>CUS-0158</t>
  </si>
  <si>
    <t>CUS-0159</t>
  </si>
  <si>
    <t>CUS-0160</t>
  </si>
  <si>
    <t>CUS-0161</t>
  </si>
  <si>
    <t>CUS-0162</t>
  </si>
  <si>
    <t>CUS-0163</t>
  </si>
  <si>
    <t>CUS-0164</t>
  </si>
  <si>
    <t>CUS-0165</t>
  </si>
  <si>
    <t>CUS-0166</t>
  </si>
  <si>
    <t>CUS-0167</t>
  </si>
  <si>
    <t>CUS-0168</t>
  </si>
  <si>
    <t>CUS-0169</t>
  </si>
  <si>
    <t>CUS-0170</t>
  </si>
  <si>
    <t>CUS-0171</t>
  </si>
  <si>
    <t>CUS-0172</t>
  </si>
  <si>
    <t>CUS-0173</t>
  </si>
  <si>
    <t>CUS-0174</t>
  </si>
  <si>
    <t>CUS-0175</t>
  </si>
  <si>
    <t>CUS-0176</t>
  </si>
  <si>
    <t>CUS-0177</t>
  </si>
  <si>
    <t>CUS-0178</t>
  </si>
  <si>
    <t>CUS-0179</t>
  </si>
  <si>
    <t>CUS-0180</t>
  </si>
  <si>
    <t>CUS-0181</t>
  </si>
  <si>
    <t>CUS-0182</t>
  </si>
  <si>
    <t>CUS-0183</t>
  </si>
  <si>
    <t>CUS-0184</t>
  </si>
  <si>
    <t>CUS-0185</t>
  </si>
  <si>
    <t>CUS-0186</t>
  </si>
  <si>
    <t>CUS-0187</t>
  </si>
  <si>
    <t>CUS-0188</t>
  </si>
  <si>
    <t>CUS-0189</t>
  </si>
  <si>
    <t>CUS-0190</t>
  </si>
  <si>
    <t>CUS-0191</t>
  </si>
  <si>
    <t>CUS-0192</t>
  </si>
  <si>
    <t>CUS-0193</t>
  </si>
  <si>
    <t>CUS-0194</t>
  </si>
  <si>
    <t>CUS-0195</t>
  </si>
  <si>
    <t>CUS-0196</t>
  </si>
  <si>
    <t>CUS-0197</t>
  </si>
  <si>
    <t>CUS-0198</t>
  </si>
  <si>
    <t>CUS-0199</t>
  </si>
  <si>
    <t>CUS-0200</t>
  </si>
  <si>
    <t>Order ID</t>
  </si>
  <si>
    <t>Region</t>
  </si>
  <si>
    <t>Rep</t>
  </si>
  <si>
    <t>Revenue</t>
  </si>
  <si>
    <t>Date</t>
  </si>
  <si>
    <t>ORD-001</t>
  </si>
  <si>
    <t>Sara</t>
  </si>
  <si>
    <t>ORD-002</t>
  </si>
  <si>
    <t>Omar</t>
  </si>
  <si>
    <t>ORD-003</t>
  </si>
  <si>
    <t>Nour</t>
  </si>
  <si>
    <t>ORD-004</t>
  </si>
  <si>
    <t>Youssef</t>
  </si>
  <si>
    <t>ORD-005</t>
  </si>
  <si>
    <t>Ahmed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</si>
  <si>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</si>
  <si>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</si>
  <si>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</si>
  <si>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</si>
  <si>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</si>
  <si>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</si>
  <si>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</si>
  <si>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</si>
  <si>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</si>
  <si>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</si>
  <si>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</si>
  <si>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</si>
  <si>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</si>
  <si>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</si>
  <si>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</si>
  <si>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</si>
  <si>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</si>
  <si>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</si>
  <si>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</si>
  <si>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</si>
  <si>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</si>
  <si>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</si>
  <si>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</si>
  <si>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</si>
  <si>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</si>
  <si>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Count orders from Cairo</t>
  </si>
  <si>
    <t>Rounded</t>
  </si>
  <si>
    <t>Formatted Date</t>
  </si>
  <si>
    <t>Flagged</t>
  </si>
  <si>
    <t>Student ID</t>
  </si>
  <si>
    <t>Math</t>
  </si>
  <si>
    <t>English</t>
  </si>
  <si>
    <t>Science</t>
  </si>
  <si>
    <t>History</t>
  </si>
  <si>
    <t>Computer</t>
  </si>
  <si>
    <t>STU-001</t>
  </si>
  <si>
    <t>Ali Hassan</t>
  </si>
  <si>
    <t>STU-002</t>
  </si>
  <si>
    <t>Mona Adel</t>
  </si>
  <si>
    <t>STU-003</t>
  </si>
  <si>
    <t>Karim Samir</t>
  </si>
  <si>
    <t>STU-004</t>
  </si>
  <si>
    <t>Laila Mostafa</t>
  </si>
  <si>
    <t>STU-005</t>
  </si>
  <si>
    <t>Omar Nabil</t>
  </si>
  <si>
    <t>STU-006</t>
  </si>
  <si>
    <t>Sara Ahmed</t>
  </si>
  <si>
    <t>STU-007</t>
  </si>
  <si>
    <t>Youssef Tarek</t>
  </si>
  <si>
    <t>STU-008</t>
  </si>
  <si>
    <t>Nour Khaled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</si>
  <si>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</si>
  <si>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</si>
  <si>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</si>
  <si>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</si>
  <si>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</si>
  <si>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</si>
  <si>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</si>
  <si>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</si>
  <si>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</si>
  <si>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</si>
  <si>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</si>
  <si>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</si>
  <si>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</si>
  <si>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</si>
  <si>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</si>
  <si>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</si>
  <si>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</si>
  <si>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</si>
  <si>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</si>
  <si>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</si>
  <si>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</si>
  <si>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</si>
  <si>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</si>
  <si>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</si>
  <si>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</si>
  <si>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</si>
  <si>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</si>
  <si>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</si>
  <si>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</si>
  <si>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</si>
  <si>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</si>
  <si>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</si>
  <si>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Pull ID</t>
  </si>
  <si>
    <t>Grade</t>
  </si>
  <si>
    <t>Scores</t>
  </si>
  <si>
    <t>Average</t>
  </si>
  <si>
    <t>Summary</t>
  </si>
  <si>
    <t>Typed</t>
  </si>
  <si>
    <t>Tier</t>
  </si>
  <si>
    <t>Days since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</si>
</sst>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14" fontId="0" fillId="0" borderId="0" xfId="0" applyNumberFormat="1"/>
    <xf numFmtId="0" fontId="1" fillId="2" borderId="0" xfId="1" applyNumberFormat="1"/>
    <xf numFmtId="0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E0DB34-74AE-42B2-8975-9231C615A145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e7c70d67-70a1-4a93-8532-b27411e55c6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F3F9-29BD-4272-B2F0-99BCA97D004F}">
  <dimension ref="A1:I31"/>
  <sheetViews>
    <sheetView workbookViewId="0">
      <selection activeCell="J5" sqref="J5"/>
    </sheetView>
  </sheetViews>
  <sheetFormatPr defaultRowHeight="14.4" x14ac:dyDescent="0.3"/>
  <cols>
    <col min="1" max="1" width="8.33203125" bestFit="1" customWidth="1"/>
    <col min="2" max="2" width="9.44140625" bestFit="1" customWidth="1"/>
    <col min="3" max="3" width="7.33203125" bestFit="1" customWidth="1"/>
    <col min="4" max="4" width="10" bestFit="1" customWidth="1"/>
    <col min="5" max="5" width="9.33203125" bestFit="1" customWidth="1"/>
    <col min="7" max="7" width="13.5546875" bestFit="1" customWidth="1"/>
    <col min="8" max="8" width="8.21875" bestFit="1" customWidth="1"/>
    <col min="9" max="10" width="20.33203125" bestFit="1" customWidth="1"/>
  </cols>
  <sheetData>
    <row r="1" spans="1:9" x14ac:dyDescent="0.3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259</v>
      </c>
      <c r="G1" s="1" t="s">
        <v>260</v>
      </c>
      <c r="H1" s="1" t="s">
        <v>261</v>
      </c>
      <c r="I1" s="1" t="s">
        <v>258</v>
      </c>
    </row>
    <row r="2" spans="1:9" x14ac:dyDescent="0.3">
      <c r="A2" t="s">
        <v>223</v>
      </c>
      <c r="B2" t="s">
        <v>13</v>
      </c>
      <c r="C2" t="s">
        <v>224</v>
      </c>
      <c r="D2">
        <v>4737.4179999999997</v>
      </c>
      <c r="E2" s="2">
        <v>46026</v>
      </c>
      <c r="F2" cm="1">
        <f t="array" ref="F2:F31">ROUND(D2:D31,2)</f>
        <v>4737.42</v>
      </c>
      <c r="G2" t="str" cm="1">
        <f t="array" ref="G2:G31">TEXT(E2:E31,"dd-mmm-yyyy")</f>
        <v>04-Jan-2026</v>
      </c>
      <c r="H2" t="str" cm="1">
        <f t="array" ref="H2:H31">IF(D2:D31 &gt; 10000, "Priority", "Standard")</f>
        <v>Standard</v>
      </c>
      <c r="I2">
        <f xml:space="preserve"> COUNTIF(B2:B31, "Cairo")</f>
        <v>12</v>
      </c>
    </row>
    <row r="3" spans="1:9" x14ac:dyDescent="0.3">
      <c r="A3" t="s">
        <v>225</v>
      </c>
      <c r="B3" t="s">
        <v>10</v>
      </c>
      <c r="C3" t="s">
        <v>226</v>
      </c>
      <c r="D3">
        <v>5274.8360000000002</v>
      </c>
      <c r="E3" s="2">
        <v>46060</v>
      </c>
      <c r="F3">
        <v>5274.84</v>
      </c>
      <c r="G3" t="str">
        <v>07-Feb-2026</v>
      </c>
      <c r="H3" t="str">
        <v>Standard</v>
      </c>
    </row>
    <row r="4" spans="1:9" x14ac:dyDescent="0.3">
      <c r="A4" t="s">
        <v>227</v>
      </c>
      <c r="B4" t="s">
        <v>19</v>
      </c>
      <c r="C4" t="s">
        <v>228</v>
      </c>
      <c r="D4">
        <v>5812.2539999999999</v>
      </c>
      <c r="E4" s="2">
        <v>46091</v>
      </c>
      <c r="F4">
        <v>5812.25</v>
      </c>
      <c r="G4" t="str">
        <v>10-Mar-2026</v>
      </c>
      <c r="H4" t="str">
        <v>Standard</v>
      </c>
    </row>
    <row r="5" spans="1:9" x14ac:dyDescent="0.3">
      <c r="A5" t="s">
        <v>229</v>
      </c>
      <c r="B5" t="s">
        <v>7</v>
      </c>
      <c r="C5" t="s">
        <v>230</v>
      </c>
      <c r="D5">
        <v>6349.6719999999996</v>
      </c>
      <c r="E5" s="2">
        <v>46125</v>
      </c>
      <c r="F5">
        <v>6349.67</v>
      </c>
      <c r="G5" t="str">
        <v>13-Apr-2026</v>
      </c>
      <c r="H5" t="str">
        <v>Standard</v>
      </c>
    </row>
    <row r="6" spans="1:9" x14ac:dyDescent="0.3">
      <c r="A6" t="s">
        <v>231</v>
      </c>
      <c r="B6" t="s">
        <v>7</v>
      </c>
      <c r="C6" t="s">
        <v>232</v>
      </c>
      <c r="D6">
        <v>6887.09</v>
      </c>
      <c r="E6" s="2">
        <v>46158</v>
      </c>
      <c r="F6">
        <v>6887.09</v>
      </c>
      <c r="G6" t="str">
        <v>16-May-2026</v>
      </c>
      <c r="H6" t="str">
        <v>Standard</v>
      </c>
    </row>
    <row r="7" spans="1:9" x14ac:dyDescent="0.3">
      <c r="A7" t="s">
        <v>233</v>
      </c>
      <c r="B7" t="s">
        <v>13</v>
      </c>
      <c r="C7" t="s">
        <v>224</v>
      </c>
      <c r="D7">
        <v>7424.5079999999998</v>
      </c>
      <c r="E7" s="2">
        <v>46192</v>
      </c>
      <c r="F7">
        <v>7424.51</v>
      </c>
      <c r="G7" t="str">
        <v>19-Jun-2026</v>
      </c>
      <c r="H7" t="str">
        <v>Standard</v>
      </c>
    </row>
    <row r="8" spans="1:9" x14ac:dyDescent="0.3">
      <c r="A8" t="s">
        <v>234</v>
      </c>
      <c r="B8" t="s">
        <v>10</v>
      </c>
      <c r="C8" t="s">
        <v>226</v>
      </c>
      <c r="D8">
        <v>7961.9260000000004</v>
      </c>
      <c r="E8" s="2">
        <v>46225</v>
      </c>
      <c r="F8">
        <v>7961.93</v>
      </c>
      <c r="G8" t="str">
        <v>22-Jul-2026</v>
      </c>
      <c r="H8" t="str">
        <v>Standard</v>
      </c>
    </row>
    <row r="9" spans="1:9" x14ac:dyDescent="0.3">
      <c r="A9" t="s">
        <v>235</v>
      </c>
      <c r="B9" t="s">
        <v>19</v>
      </c>
      <c r="C9" t="s">
        <v>228</v>
      </c>
      <c r="D9">
        <v>8499.3439999999991</v>
      </c>
      <c r="E9" s="2">
        <v>46259</v>
      </c>
      <c r="F9">
        <v>8499.34</v>
      </c>
      <c r="G9" t="str">
        <v>25-Aug-2026</v>
      </c>
      <c r="H9" t="str">
        <v>Standard</v>
      </c>
    </row>
    <row r="10" spans="1:9" x14ac:dyDescent="0.3">
      <c r="A10" t="s">
        <v>236</v>
      </c>
      <c r="B10" t="s">
        <v>7</v>
      </c>
      <c r="C10" t="s">
        <v>230</v>
      </c>
      <c r="D10">
        <v>9036.7620000000006</v>
      </c>
      <c r="E10" s="2">
        <v>46023</v>
      </c>
      <c r="F10">
        <v>9036.76</v>
      </c>
      <c r="G10" t="str">
        <v>01-Jan-2026</v>
      </c>
      <c r="H10" t="str">
        <v>Standard</v>
      </c>
    </row>
    <row r="11" spans="1:9" x14ac:dyDescent="0.3">
      <c r="A11" t="s">
        <v>237</v>
      </c>
      <c r="B11" t="s">
        <v>7</v>
      </c>
      <c r="C11" t="s">
        <v>232</v>
      </c>
      <c r="D11">
        <v>9574.18</v>
      </c>
      <c r="E11" s="2">
        <v>46057</v>
      </c>
      <c r="F11">
        <v>9574.18</v>
      </c>
      <c r="G11" t="str">
        <v>04-Feb-2026</v>
      </c>
      <c r="H11" t="str">
        <v>Standard</v>
      </c>
    </row>
    <row r="12" spans="1:9" x14ac:dyDescent="0.3">
      <c r="A12" t="s">
        <v>238</v>
      </c>
      <c r="B12" t="s">
        <v>13</v>
      </c>
      <c r="C12" t="s">
        <v>224</v>
      </c>
      <c r="D12">
        <v>10111.598</v>
      </c>
      <c r="E12" s="2">
        <v>46088</v>
      </c>
      <c r="F12">
        <v>10111.6</v>
      </c>
      <c r="G12" t="str">
        <v>07-Mar-2026</v>
      </c>
      <c r="H12" t="str">
        <v>Priority</v>
      </c>
    </row>
    <row r="13" spans="1:9" x14ac:dyDescent="0.3">
      <c r="A13" t="s">
        <v>239</v>
      </c>
      <c r="B13" t="s">
        <v>10</v>
      </c>
      <c r="C13" t="s">
        <v>226</v>
      </c>
      <c r="D13">
        <v>10649.016</v>
      </c>
      <c r="E13" s="2">
        <v>46122</v>
      </c>
      <c r="F13">
        <v>10649.02</v>
      </c>
      <c r="G13" t="str">
        <v>10-Apr-2026</v>
      </c>
      <c r="H13" t="str">
        <v>Priority</v>
      </c>
    </row>
    <row r="14" spans="1:9" x14ac:dyDescent="0.3">
      <c r="A14" t="s">
        <v>240</v>
      </c>
      <c r="B14" t="s">
        <v>19</v>
      </c>
      <c r="C14" t="s">
        <v>228</v>
      </c>
      <c r="D14">
        <v>11186.433999999999</v>
      </c>
      <c r="E14" s="2">
        <v>46155</v>
      </c>
      <c r="F14">
        <v>11186.43</v>
      </c>
      <c r="G14" t="str">
        <v>13-May-2026</v>
      </c>
      <c r="H14" t="str">
        <v>Priority</v>
      </c>
    </row>
    <row r="15" spans="1:9" x14ac:dyDescent="0.3">
      <c r="A15" t="s">
        <v>241</v>
      </c>
      <c r="B15" t="s">
        <v>7</v>
      </c>
      <c r="C15" t="s">
        <v>230</v>
      </c>
      <c r="D15">
        <v>11723.852000000001</v>
      </c>
      <c r="E15" s="2">
        <v>46189</v>
      </c>
      <c r="F15">
        <v>11723.85</v>
      </c>
      <c r="G15" t="str">
        <v>16-Jun-2026</v>
      </c>
      <c r="H15" t="str">
        <v>Priority</v>
      </c>
    </row>
    <row r="16" spans="1:9" x14ac:dyDescent="0.3">
      <c r="A16" t="s">
        <v>242</v>
      </c>
      <c r="B16" t="s">
        <v>7</v>
      </c>
      <c r="C16" t="s">
        <v>232</v>
      </c>
      <c r="D16">
        <v>12261.27</v>
      </c>
      <c r="E16" s="2">
        <v>46222</v>
      </c>
      <c r="F16">
        <v>12261.27</v>
      </c>
      <c r="G16" t="str">
        <v>19-Jul-2026</v>
      </c>
      <c r="H16" t="str">
        <v>Priority</v>
      </c>
    </row>
    <row r="17" spans="1:8" x14ac:dyDescent="0.3">
      <c r="A17" t="s">
        <v>243</v>
      </c>
      <c r="B17" t="s">
        <v>13</v>
      </c>
      <c r="C17" t="s">
        <v>224</v>
      </c>
      <c r="D17">
        <v>12798.688</v>
      </c>
      <c r="E17" s="2">
        <v>46256</v>
      </c>
      <c r="F17">
        <v>12798.69</v>
      </c>
      <c r="G17" t="str">
        <v>22-Aug-2026</v>
      </c>
      <c r="H17" t="str">
        <v>Priority</v>
      </c>
    </row>
    <row r="18" spans="1:8" x14ac:dyDescent="0.3">
      <c r="A18" t="s">
        <v>244</v>
      </c>
      <c r="B18" t="s">
        <v>10</v>
      </c>
      <c r="C18" t="s">
        <v>226</v>
      </c>
      <c r="D18">
        <v>13336.106</v>
      </c>
      <c r="E18" s="2">
        <v>46047</v>
      </c>
      <c r="F18">
        <v>13336.11</v>
      </c>
      <c r="G18" t="str">
        <v>25-Jan-2026</v>
      </c>
      <c r="H18" t="str">
        <v>Priority</v>
      </c>
    </row>
    <row r="19" spans="1:8" x14ac:dyDescent="0.3">
      <c r="A19" t="s">
        <v>245</v>
      </c>
      <c r="B19" t="s">
        <v>19</v>
      </c>
      <c r="C19" t="s">
        <v>228</v>
      </c>
      <c r="D19">
        <v>13873.523999999999</v>
      </c>
      <c r="E19" s="2">
        <v>46054</v>
      </c>
      <c r="F19">
        <v>13873.52</v>
      </c>
      <c r="G19" t="str">
        <v>01-Feb-2026</v>
      </c>
      <c r="H19" t="str">
        <v>Priority</v>
      </c>
    </row>
    <row r="20" spans="1:8" x14ac:dyDescent="0.3">
      <c r="A20" t="s">
        <v>246</v>
      </c>
      <c r="B20" t="s">
        <v>7</v>
      </c>
      <c r="C20" t="s">
        <v>230</v>
      </c>
      <c r="D20">
        <v>14410.941999999999</v>
      </c>
      <c r="E20" s="2">
        <v>46085</v>
      </c>
      <c r="F20">
        <v>14410.94</v>
      </c>
      <c r="G20" t="str">
        <v>04-Mar-2026</v>
      </c>
      <c r="H20" t="str">
        <v>Priority</v>
      </c>
    </row>
    <row r="21" spans="1:8" x14ac:dyDescent="0.3">
      <c r="A21" t="s">
        <v>247</v>
      </c>
      <c r="B21" t="s">
        <v>7</v>
      </c>
      <c r="C21" t="s">
        <v>232</v>
      </c>
      <c r="D21">
        <v>14948.36</v>
      </c>
      <c r="E21" s="2">
        <v>46119</v>
      </c>
      <c r="F21">
        <v>14948.36</v>
      </c>
      <c r="G21" t="str">
        <v>07-Apr-2026</v>
      </c>
      <c r="H21" t="str">
        <v>Priority</v>
      </c>
    </row>
    <row r="22" spans="1:8" x14ac:dyDescent="0.3">
      <c r="A22" t="s">
        <v>248</v>
      </c>
      <c r="B22" t="s">
        <v>13</v>
      </c>
      <c r="C22" t="s">
        <v>224</v>
      </c>
      <c r="D22">
        <v>15485.778</v>
      </c>
      <c r="E22" s="2">
        <v>46152</v>
      </c>
      <c r="F22">
        <v>15485.78</v>
      </c>
      <c r="G22" t="str">
        <v>10-May-2026</v>
      </c>
      <c r="H22" t="str">
        <v>Priority</v>
      </c>
    </row>
    <row r="23" spans="1:8" x14ac:dyDescent="0.3">
      <c r="A23" t="s">
        <v>249</v>
      </c>
      <c r="B23" t="s">
        <v>10</v>
      </c>
      <c r="C23" t="s">
        <v>226</v>
      </c>
      <c r="D23">
        <v>16023.196</v>
      </c>
      <c r="E23" s="2">
        <v>46186</v>
      </c>
      <c r="F23">
        <v>16023.2</v>
      </c>
      <c r="G23" t="str">
        <v>13-Jun-2026</v>
      </c>
      <c r="H23" t="str">
        <v>Priority</v>
      </c>
    </row>
    <row r="24" spans="1:8" x14ac:dyDescent="0.3">
      <c r="A24" t="s">
        <v>250</v>
      </c>
      <c r="B24" t="s">
        <v>19</v>
      </c>
      <c r="C24" t="s">
        <v>228</v>
      </c>
      <c r="D24">
        <v>16560.614000000001</v>
      </c>
      <c r="E24" s="2">
        <v>46219</v>
      </c>
      <c r="F24">
        <v>16560.61</v>
      </c>
      <c r="G24" t="str">
        <v>16-Jul-2026</v>
      </c>
      <c r="H24" t="str">
        <v>Priority</v>
      </c>
    </row>
    <row r="25" spans="1:8" x14ac:dyDescent="0.3">
      <c r="A25" t="s">
        <v>251</v>
      </c>
      <c r="B25" t="s">
        <v>7</v>
      </c>
      <c r="C25" t="s">
        <v>230</v>
      </c>
      <c r="D25">
        <v>17098.031999999999</v>
      </c>
      <c r="E25" s="2">
        <v>46253</v>
      </c>
      <c r="F25">
        <v>17098.03</v>
      </c>
      <c r="G25" t="str">
        <v>19-Aug-2026</v>
      </c>
      <c r="H25" t="str">
        <v>Priority</v>
      </c>
    </row>
    <row r="26" spans="1:8" x14ac:dyDescent="0.3">
      <c r="A26" t="s">
        <v>252</v>
      </c>
      <c r="B26" t="s">
        <v>7</v>
      </c>
      <c r="C26" t="s">
        <v>232</v>
      </c>
      <c r="D26">
        <v>17635.45</v>
      </c>
      <c r="E26" s="2">
        <v>46044</v>
      </c>
      <c r="F26">
        <v>17635.45</v>
      </c>
      <c r="G26" t="str">
        <v>22-Jan-2026</v>
      </c>
      <c r="H26" t="str">
        <v>Priority</v>
      </c>
    </row>
    <row r="27" spans="1:8" x14ac:dyDescent="0.3">
      <c r="A27" t="s">
        <v>253</v>
      </c>
      <c r="B27" t="s">
        <v>13</v>
      </c>
      <c r="C27" t="s">
        <v>224</v>
      </c>
      <c r="D27">
        <v>18172.867999999999</v>
      </c>
      <c r="E27" s="2">
        <v>46078</v>
      </c>
      <c r="F27">
        <v>18172.87</v>
      </c>
      <c r="G27" t="str">
        <v>25-Feb-2026</v>
      </c>
      <c r="H27" t="str">
        <v>Priority</v>
      </c>
    </row>
    <row r="28" spans="1:8" x14ac:dyDescent="0.3">
      <c r="A28" t="s">
        <v>254</v>
      </c>
      <c r="B28" t="s">
        <v>10</v>
      </c>
      <c r="C28" t="s">
        <v>226</v>
      </c>
      <c r="D28">
        <v>18710.286</v>
      </c>
      <c r="E28" s="2">
        <v>46082</v>
      </c>
      <c r="F28">
        <v>18710.29</v>
      </c>
      <c r="G28" t="str">
        <v>01-Mar-2026</v>
      </c>
      <c r="H28" t="str">
        <v>Priority</v>
      </c>
    </row>
    <row r="29" spans="1:8" x14ac:dyDescent="0.3">
      <c r="A29" t="s">
        <v>255</v>
      </c>
      <c r="B29" t="s">
        <v>19</v>
      </c>
      <c r="C29" t="s">
        <v>228</v>
      </c>
      <c r="D29">
        <v>19247.704000000002</v>
      </c>
      <c r="E29" s="2">
        <v>46116</v>
      </c>
      <c r="F29">
        <v>19247.7</v>
      </c>
      <c r="G29" t="str">
        <v>04-Apr-2026</v>
      </c>
      <c r="H29" t="str">
        <v>Priority</v>
      </c>
    </row>
    <row r="30" spans="1:8" x14ac:dyDescent="0.3">
      <c r="A30" t="s">
        <v>256</v>
      </c>
      <c r="B30" t="s">
        <v>7</v>
      </c>
      <c r="C30" t="s">
        <v>230</v>
      </c>
      <c r="D30">
        <v>19785.121999999999</v>
      </c>
      <c r="E30" s="2">
        <v>46149</v>
      </c>
      <c r="F30">
        <v>19785.12</v>
      </c>
      <c r="G30" t="str">
        <v>07-May-2026</v>
      </c>
      <c r="H30" t="str">
        <v>Priority</v>
      </c>
    </row>
    <row r="31" spans="1:8" x14ac:dyDescent="0.3">
      <c r="A31" t="s">
        <v>257</v>
      </c>
      <c r="B31" t="s">
        <v>7</v>
      </c>
      <c r="C31" t="s">
        <v>232</v>
      </c>
      <c r="D31">
        <v>20322.54</v>
      </c>
      <c r="E31" s="2">
        <v>46183</v>
      </c>
      <c r="F31">
        <v>20322.54</v>
      </c>
      <c r="G31" t="str">
        <v>10-Jun-2026</v>
      </c>
      <c r="H31" t="str">
        <v>Priority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D323-206E-46BD-90AA-EBF0944DD212}">
  <dimension ref="A1:L41"/>
  <sheetViews>
    <sheetView topLeftCell="A22" workbookViewId="0">
      <selection activeCell="N4" sqref="N4"/>
    </sheetView>
  </sheetViews>
  <sheetFormatPr defaultRowHeight="14.4" x14ac:dyDescent="0.3"/>
  <cols>
    <col min="1" max="1" width="9.109375" bestFit="1" customWidth="1"/>
    <col min="2" max="2" width="12.109375" bestFit="1" customWidth="1"/>
    <col min="3" max="3" width="5" bestFit="1" customWidth="1"/>
    <col min="4" max="4" width="6.6640625" bestFit="1" customWidth="1"/>
    <col min="5" max="5" width="7.44140625" bestFit="1" customWidth="1"/>
    <col min="6" max="6" width="6.6640625" bestFit="1" customWidth="1"/>
    <col min="7" max="7" width="9" bestFit="1" customWidth="1"/>
    <col min="8" max="8" width="6.5546875" bestFit="1" customWidth="1"/>
    <col min="9" max="10" width="6" bestFit="1" customWidth="1"/>
    <col min="11" max="11" width="7.44140625" bestFit="1" customWidth="1"/>
    <col min="12" max="12" width="20.44140625" bestFit="1" customWidth="1"/>
  </cols>
  <sheetData>
    <row r="1" spans="1:12" x14ac:dyDescent="0.3">
      <c r="A1" s="1" t="s">
        <v>262</v>
      </c>
      <c r="B1" s="1" t="s">
        <v>1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318</v>
      </c>
      <c r="I1" s="1" t="s">
        <v>316</v>
      </c>
      <c r="J1" s="1" t="s">
        <v>317</v>
      </c>
      <c r="K1" s="1" t="s">
        <v>319</v>
      </c>
      <c r="L1" s="1" t="s">
        <v>320</v>
      </c>
    </row>
    <row r="2" spans="1:12" x14ac:dyDescent="0.3">
      <c r="A2" t="s">
        <v>268</v>
      </c>
      <c r="B2" t="s">
        <v>269</v>
      </c>
      <c r="C2">
        <v>62</v>
      </c>
      <c r="D2">
        <v>59</v>
      </c>
      <c r="E2">
        <v>63</v>
      </c>
      <c r="F2">
        <v>63</v>
      </c>
      <c r="G2">
        <v>63</v>
      </c>
      <c r="H2">
        <f>SUM(C2:F2) / 500 * 100</f>
        <v>49.4</v>
      </c>
      <c r="I2">
        <f>_xlfn.XLOOKUP(A2,A2:A41,C2:C41,"Not Found")</f>
        <v>62</v>
      </c>
      <c r="J2" t="str" cm="1">
        <f t="array" ref="J2">_xlfn.IFS(H2 &gt;= 90, "A", H2 &gt;= 75, "B", H2 &gt;= 50,"C",H2 &lt; 50, "D")</f>
        <v>D</v>
      </c>
      <c r="K2">
        <f>AVERAGE(C2:G2)</f>
        <v>62</v>
      </c>
      <c r="L2" t="str">
        <f>_xlfn.TEXTJOIN("—", TRUE, B2,J2,K2)</f>
        <v>Ali Hassan—D—62</v>
      </c>
    </row>
    <row r="3" spans="1:12" x14ac:dyDescent="0.3">
      <c r="A3" t="s">
        <v>270</v>
      </c>
      <c r="B3" t="s">
        <v>271</v>
      </c>
      <c r="C3">
        <v>69</v>
      </c>
      <c r="D3">
        <v>68</v>
      </c>
      <c r="E3">
        <v>68</v>
      </c>
      <c r="F3">
        <v>74</v>
      </c>
      <c r="G3">
        <v>66</v>
      </c>
      <c r="H3">
        <f t="shared" ref="H3:H41" si="0">SUM(C3:F3) / 500 * 100</f>
        <v>55.800000000000004</v>
      </c>
      <c r="J3" t="str" cm="1">
        <f t="array" ref="J3">_xlfn.IFS(H3 &gt;= 90, "A", H3 &gt;= 75, "B", H3 &gt;= 50,"C",H3 &lt; 50, "D")</f>
        <v>C</v>
      </c>
      <c r="K3">
        <f t="shared" ref="K3:K41" si="1">AVERAGE(C3:G3)</f>
        <v>69</v>
      </c>
      <c r="L3" t="str">
        <f t="shared" ref="L3:L41" si="2">_xlfn.TEXTJOIN("—", TRUE, B3,J3,K3)</f>
        <v>Mona Adel—C—69</v>
      </c>
    </row>
    <row r="4" spans="1:12" x14ac:dyDescent="0.3">
      <c r="A4" t="s">
        <v>272</v>
      </c>
      <c r="B4" t="s">
        <v>273</v>
      </c>
      <c r="C4">
        <v>76</v>
      </c>
      <c r="D4">
        <v>77</v>
      </c>
      <c r="E4">
        <v>73</v>
      </c>
      <c r="F4">
        <v>85</v>
      </c>
      <c r="G4">
        <v>69</v>
      </c>
      <c r="H4">
        <f t="shared" si="0"/>
        <v>62.2</v>
      </c>
      <c r="J4" t="str" cm="1">
        <f t="array" ref="J4">_xlfn.IFS(H4 &gt;= 90, "A", H4 &gt;= 75, "B", H4 &gt;= 50,"C",H4 &lt; 50, "D")</f>
        <v>C</v>
      </c>
      <c r="K4">
        <f t="shared" si="1"/>
        <v>76</v>
      </c>
      <c r="L4" t="str">
        <f t="shared" si="2"/>
        <v>Karim Samir—C—76</v>
      </c>
    </row>
    <row r="5" spans="1:12" x14ac:dyDescent="0.3">
      <c r="A5" t="s">
        <v>274</v>
      </c>
      <c r="B5" t="s">
        <v>275</v>
      </c>
      <c r="C5">
        <v>83</v>
      </c>
      <c r="D5">
        <v>86</v>
      </c>
      <c r="E5">
        <v>78</v>
      </c>
      <c r="F5">
        <v>96</v>
      </c>
      <c r="G5">
        <v>72</v>
      </c>
      <c r="H5">
        <f t="shared" si="0"/>
        <v>68.600000000000009</v>
      </c>
      <c r="J5" t="str" cm="1">
        <f t="array" ref="J5">_xlfn.IFS(H5 &gt;= 90, "A", H5 &gt;= 75, "B", H5 &gt;= 50,"C",H5 &lt; 50, "D")</f>
        <v>C</v>
      </c>
      <c r="K5">
        <f t="shared" si="1"/>
        <v>83</v>
      </c>
      <c r="L5" t="str">
        <f t="shared" si="2"/>
        <v>Laila Mostafa—C—83</v>
      </c>
    </row>
    <row r="6" spans="1:12" x14ac:dyDescent="0.3">
      <c r="A6" t="s">
        <v>276</v>
      </c>
      <c r="B6" t="s">
        <v>277</v>
      </c>
      <c r="C6">
        <v>90</v>
      </c>
      <c r="D6">
        <v>95</v>
      </c>
      <c r="E6">
        <v>83</v>
      </c>
      <c r="F6">
        <v>58</v>
      </c>
      <c r="G6">
        <v>75</v>
      </c>
      <c r="H6">
        <f t="shared" si="0"/>
        <v>65.2</v>
      </c>
      <c r="J6" t="str" cm="1">
        <f t="array" ref="J6">_xlfn.IFS(H6 &gt;= 90, "A", H6 &gt;= 75, "B", H6 &gt;= 50,"C",H6 &lt; 50, "D")</f>
        <v>C</v>
      </c>
      <c r="K6">
        <f t="shared" si="1"/>
        <v>80.2</v>
      </c>
      <c r="L6" t="str">
        <f t="shared" si="2"/>
        <v>Omar Nabil—C—80.2</v>
      </c>
    </row>
    <row r="7" spans="1:12" x14ac:dyDescent="0.3">
      <c r="A7" t="s">
        <v>278</v>
      </c>
      <c r="B7" t="s">
        <v>279</v>
      </c>
      <c r="C7">
        <v>97</v>
      </c>
      <c r="D7">
        <v>53</v>
      </c>
      <c r="E7">
        <v>88</v>
      </c>
      <c r="F7">
        <v>69</v>
      </c>
      <c r="G7">
        <v>78</v>
      </c>
      <c r="H7">
        <f t="shared" si="0"/>
        <v>61.4</v>
      </c>
      <c r="J7" t="str" cm="1">
        <f t="array" ref="J7">_xlfn.IFS(H7 &gt;= 90, "A", H7 &gt;= 75, "B", H7 &gt;= 50,"C",H7 &lt; 50, "D")</f>
        <v>C</v>
      </c>
      <c r="K7">
        <f t="shared" si="1"/>
        <v>77</v>
      </c>
      <c r="L7" t="str">
        <f t="shared" si="2"/>
        <v>Sara Ahmed—C—77</v>
      </c>
    </row>
    <row r="8" spans="1:12" x14ac:dyDescent="0.3">
      <c r="A8" t="s">
        <v>280</v>
      </c>
      <c r="B8" t="s">
        <v>281</v>
      </c>
      <c r="C8">
        <v>58</v>
      </c>
      <c r="D8">
        <v>62</v>
      </c>
      <c r="E8">
        <v>93</v>
      </c>
      <c r="F8">
        <v>80</v>
      </c>
      <c r="G8">
        <v>81</v>
      </c>
      <c r="H8">
        <f t="shared" si="0"/>
        <v>58.599999999999994</v>
      </c>
      <c r="J8" t="str" cm="1">
        <f t="array" ref="J8">_xlfn.IFS(H8 &gt;= 90, "A", H8 &gt;= 75, "B", H8 &gt;= 50,"C",H8 &lt; 50, "D")</f>
        <v>C</v>
      </c>
      <c r="K8">
        <f t="shared" si="1"/>
        <v>74.8</v>
      </c>
      <c r="L8" t="str">
        <f t="shared" si="2"/>
        <v>Youssef Tarek—C—74.8</v>
      </c>
    </row>
    <row r="9" spans="1:12" x14ac:dyDescent="0.3">
      <c r="A9" t="s">
        <v>282</v>
      </c>
      <c r="B9" t="s">
        <v>283</v>
      </c>
      <c r="C9">
        <v>65</v>
      </c>
      <c r="D9">
        <v>71</v>
      </c>
      <c r="E9">
        <v>98</v>
      </c>
      <c r="F9">
        <v>91</v>
      </c>
      <c r="G9">
        <v>84</v>
      </c>
      <c r="H9">
        <f t="shared" si="0"/>
        <v>65</v>
      </c>
      <c r="J9" t="str" cm="1">
        <f t="array" ref="J9">_xlfn.IFS(H9 &gt;= 90, "A", H9 &gt;= 75, "B", H9 &gt;= 50,"C",H9 &lt; 50, "D")</f>
        <v>C</v>
      </c>
      <c r="K9">
        <f t="shared" si="1"/>
        <v>81.8</v>
      </c>
      <c r="L9" t="str">
        <f t="shared" si="2"/>
        <v>Nour Khaled—C—81.8</v>
      </c>
    </row>
    <row r="10" spans="1:12" x14ac:dyDescent="0.3">
      <c r="A10" t="s">
        <v>284</v>
      </c>
      <c r="B10" t="s">
        <v>269</v>
      </c>
      <c r="C10">
        <v>72</v>
      </c>
      <c r="D10">
        <v>80</v>
      </c>
      <c r="E10">
        <v>60</v>
      </c>
      <c r="F10">
        <v>53</v>
      </c>
      <c r="G10">
        <v>87</v>
      </c>
      <c r="H10">
        <f t="shared" si="0"/>
        <v>53</v>
      </c>
      <c r="J10" t="str" cm="1">
        <f t="array" ref="J10">_xlfn.IFS(H10 &gt;= 90, "A", H10 &gt;= 75, "B", H10 &gt;= 50,"C",H10 &lt; 50, "D")</f>
        <v>C</v>
      </c>
      <c r="K10">
        <f t="shared" si="1"/>
        <v>70.400000000000006</v>
      </c>
      <c r="L10" t="str">
        <f t="shared" si="2"/>
        <v>Ali Hassan—C—70.4</v>
      </c>
    </row>
    <row r="11" spans="1:12" x14ac:dyDescent="0.3">
      <c r="A11" t="s">
        <v>285</v>
      </c>
      <c r="B11" t="s">
        <v>271</v>
      </c>
      <c r="C11">
        <v>79</v>
      </c>
      <c r="D11">
        <v>89</v>
      </c>
      <c r="E11">
        <v>65</v>
      </c>
      <c r="F11">
        <v>64</v>
      </c>
      <c r="G11">
        <v>90</v>
      </c>
      <c r="H11">
        <f t="shared" si="0"/>
        <v>59.4</v>
      </c>
      <c r="J11" t="str" cm="1">
        <f t="array" ref="J11">_xlfn.IFS(H11 &gt;= 90, "A", H11 &gt;= 75, "B", H11 &gt;= 50,"C",H11 &lt; 50, "D")</f>
        <v>C</v>
      </c>
      <c r="K11">
        <f t="shared" si="1"/>
        <v>77.400000000000006</v>
      </c>
      <c r="L11" t="str">
        <f t="shared" si="2"/>
        <v>Mona Adel—C—77.4</v>
      </c>
    </row>
    <row r="12" spans="1:12" x14ac:dyDescent="0.3">
      <c r="A12" t="s">
        <v>286</v>
      </c>
      <c r="B12" t="s">
        <v>273</v>
      </c>
      <c r="C12">
        <v>86</v>
      </c>
      <c r="D12">
        <v>98</v>
      </c>
      <c r="E12">
        <v>70</v>
      </c>
      <c r="F12">
        <v>75</v>
      </c>
      <c r="G12">
        <v>93</v>
      </c>
      <c r="H12">
        <f t="shared" si="0"/>
        <v>65.8</v>
      </c>
      <c r="J12" t="str" cm="1">
        <f t="array" ref="J12">_xlfn.IFS(H12 &gt;= 90, "A", H12 &gt;= 75, "B", H12 &gt;= 50,"C",H12 &lt; 50, "D")</f>
        <v>C</v>
      </c>
      <c r="K12">
        <f t="shared" si="1"/>
        <v>84.4</v>
      </c>
      <c r="L12" t="str">
        <f t="shared" si="2"/>
        <v>Karim Samir—C—84.4</v>
      </c>
    </row>
    <row r="13" spans="1:12" x14ac:dyDescent="0.3">
      <c r="A13" t="s">
        <v>287</v>
      </c>
      <c r="B13" t="s">
        <v>275</v>
      </c>
      <c r="C13">
        <v>93</v>
      </c>
      <c r="D13">
        <v>56</v>
      </c>
      <c r="E13">
        <v>75</v>
      </c>
      <c r="F13">
        <v>86</v>
      </c>
      <c r="G13">
        <v>96</v>
      </c>
      <c r="H13">
        <f t="shared" si="0"/>
        <v>62</v>
      </c>
      <c r="J13" t="str" cm="1">
        <f t="array" ref="J13">_xlfn.IFS(H13 &gt;= 90, "A", H13 &gt;= 75, "B", H13 &gt;= 50,"C",H13 &lt; 50, "D")</f>
        <v>C</v>
      </c>
      <c r="K13">
        <f t="shared" si="1"/>
        <v>81.2</v>
      </c>
      <c r="L13" t="str">
        <f t="shared" si="2"/>
        <v>Laila Mostafa—C—81.2</v>
      </c>
    </row>
    <row r="14" spans="1:12" x14ac:dyDescent="0.3">
      <c r="A14" t="s">
        <v>288</v>
      </c>
      <c r="B14" t="s">
        <v>277</v>
      </c>
      <c r="C14">
        <v>100</v>
      </c>
      <c r="D14">
        <v>65</v>
      </c>
      <c r="E14">
        <v>80</v>
      </c>
      <c r="F14">
        <v>97</v>
      </c>
      <c r="G14">
        <v>99</v>
      </c>
      <c r="H14">
        <f t="shared" si="0"/>
        <v>68.400000000000006</v>
      </c>
      <c r="J14" t="str" cm="1">
        <f t="array" ref="J14">_xlfn.IFS(H14 &gt;= 90, "A", H14 &gt;= 75, "B", H14 &gt;= 50,"C",H14 &lt; 50, "D")</f>
        <v>C</v>
      </c>
      <c r="K14">
        <f t="shared" si="1"/>
        <v>88.2</v>
      </c>
      <c r="L14" t="str">
        <f t="shared" si="2"/>
        <v>Omar Nabil—C—88.2</v>
      </c>
    </row>
    <row r="15" spans="1:12" x14ac:dyDescent="0.3">
      <c r="A15" t="s">
        <v>289</v>
      </c>
      <c r="B15" t="s">
        <v>279</v>
      </c>
      <c r="C15">
        <v>61</v>
      </c>
      <c r="D15">
        <v>74</v>
      </c>
      <c r="E15">
        <v>85</v>
      </c>
      <c r="F15">
        <v>59</v>
      </c>
      <c r="G15">
        <v>61</v>
      </c>
      <c r="H15">
        <f t="shared" si="0"/>
        <v>55.800000000000004</v>
      </c>
      <c r="J15" t="str" cm="1">
        <f t="array" ref="J15">_xlfn.IFS(H15 &gt;= 90, "A", H15 &gt;= 75, "B", H15 &gt;= 50,"C",H15 &lt; 50, "D")</f>
        <v>C</v>
      </c>
      <c r="K15">
        <f t="shared" si="1"/>
        <v>68</v>
      </c>
      <c r="L15" t="str">
        <f t="shared" si="2"/>
        <v>Sara Ahmed—C—68</v>
      </c>
    </row>
    <row r="16" spans="1:12" x14ac:dyDescent="0.3">
      <c r="A16" t="s">
        <v>290</v>
      </c>
      <c r="B16" t="s">
        <v>281</v>
      </c>
      <c r="C16">
        <v>68</v>
      </c>
      <c r="D16">
        <v>83</v>
      </c>
      <c r="E16">
        <v>90</v>
      </c>
      <c r="F16">
        <v>70</v>
      </c>
      <c r="G16">
        <v>64</v>
      </c>
      <c r="H16">
        <f t="shared" si="0"/>
        <v>62.2</v>
      </c>
      <c r="J16" t="str" cm="1">
        <f t="array" ref="J16">_xlfn.IFS(H16 &gt;= 90, "A", H16 &gt;= 75, "B", H16 &gt;= 50,"C",H16 &lt; 50, "D")</f>
        <v>C</v>
      </c>
      <c r="K16">
        <f t="shared" si="1"/>
        <v>75</v>
      </c>
      <c r="L16" t="str">
        <f t="shared" si="2"/>
        <v>Youssef Tarek—C—75</v>
      </c>
    </row>
    <row r="17" spans="1:12" x14ac:dyDescent="0.3">
      <c r="A17" t="s">
        <v>291</v>
      </c>
      <c r="B17" t="s">
        <v>283</v>
      </c>
      <c r="C17">
        <v>75</v>
      </c>
      <c r="D17">
        <v>92</v>
      </c>
      <c r="E17">
        <v>95</v>
      </c>
      <c r="F17">
        <v>81</v>
      </c>
      <c r="G17">
        <v>67</v>
      </c>
      <c r="H17">
        <f t="shared" si="0"/>
        <v>68.600000000000009</v>
      </c>
      <c r="J17" t="str" cm="1">
        <f t="array" ref="J17">_xlfn.IFS(H17 &gt;= 90, "A", H17 &gt;= 75, "B", H17 &gt;= 50,"C",H17 &lt; 50, "D")</f>
        <v>C</v>
      </c>
      <c r="K17">
        <f t="shared" si="1"/>
        <v>82</v>
      </c>
      <c r="L17" t="str">
        <f t="shared" si="2"/>
        <v>Nour Khaled—C—82</v>
      </c>
    </row>
    <row r="18" spans="1:12" x14ac:dyDescent="0.3">
      <c r="A18" t="s">
        <v>292</v>
      </c>
      <c r="B18" t="s">
        <v>269</v>
      </c>
      <c r="C18">
        <v>82</v>
      </c>
      <c r="D18">
        <v>50</v>
      </c>
      <c r="E18">
        <v>100</v>
      </c>
      <c r="F18">
        <v>92</v>
      </c>
      <c r="G18">
        <v>70</v>
      </c>
      <c r="H18">
        <f t="shared" si="0"/>
        <v>64.8</v>
      </c>
      <c r="J18" t="str" cm="1">
        <f t="array" ref="J18">_xlfn.IFS(H18 &gt;= 90, "A", H18 &gt;= 75, "B", H18 &gt;= 50,"C",H18 &lt; 50, "D")</f>
        <v>C</v>
      </c>
      <c r="K18">
        <f t="shared" si="1"/>
        <v>78.8</v>
      </c>
      <c r="L18" t="str">
        <f t="shared" si="2"/>
        <v>Ali Hassan—C—78.8</v>
      </c>
    </row>
    <row r="19" spans="1:12" x14ac:dyDescent="0.3">
      <c r="A19" t="s">
        <v>293</v>
      </c>
      <c r="B19" t="s">
        <v>271</v>
      </c>
      <c r="C19">
        <v>89</v>
      </c>
      <c r="D19">
        <v>59</v>
      </c>
      <c r="E19">
        <v>62</v>
      </c>
      <c r="F19">
        <v>54</v>
      </c>
      <c r="G19">
        <v>73</v>
      </c>
      <c r="H19">
        <f t="shared" si="0"/>
        <v>52.800000000000004</v>
      </c>
      <c r="J19" t="str" cm="1">
        <f t="array" ref="J19">_xlfn.IFS(H19 &gt;= 90, "A", H19 &gt;= 75, "B", H19 &gt;= 50,"C",H19 &lt; 50, "D")</f>
        <v>C</v>
      </c>
      <c r="K19">
        <f t="shared" si="1"/>
        <v>67.400000000000006</v>
      </c>
      <c r="L19" t="str">
        <f t="shared" si="2"/>
        <v>Mona Adel—C—67.4</v>
      </c>
    </row>
    <row r="20" spans="1:12" x14ac:dyDescent="0.3">
      <c r="A20" t="s">
        <v>294</v>
      </c>
      <c r="B20" t="s">
        <v>273</v>
      </c>
      <c r="C20">
        <v>96</v>
      </c>
      <c r="D20">
        <v>68</v>
      </c>
      <c r="E20">
        <v>67</v>
      </c>
      <c r="F20">
        <v>65</v>
      </c>
      <c r="G20">
        <v>76</v>
      </c>
      <c r="H20">
        <f t="shared" si="0"/>
        <v>59.199999999999996</v>
      </c>
      <c r="J20" t="str" cm="1">
        <f t="array" ref="J20">_xlfn.IFS(H20 &gt;= 90, "A", H20 &gt;= 75, "B", H20 &gt;= 50,"C",H20 &lt; 50, "D")</f>
        <v>C</v>
      </c>
      <c r="K20">
        <f t="shared" si="1"/>
        <v>74.400000000000006</v>
      </c>
      <c r="L20" t="str">
        <f t="shared" si="2"/>
        <v>Karim Samir—C—74.4</v>
      </c>
    </row>
    <row r="21" spans="1:12" x14ac:dyDescent="0.3">
      <c r="A21" t="s">
        <v>295</v>
      </c>
      <c r="B21" t="s">
        <v>275</v>
      </c>
      <c r="C21">
        <v>57</v>
      </c>
      <c r="D21">
        <v>77</v>
      </c>
      <c r="E21">
        <v>72</v>
      </c>
      <c r="F21">
        <v>76</v>
      </c>
      <c r="G21">
        <v>79</v>
      </c>
      <c r="H21">
        <f t="shared" si="0"/>
        <v>56.399999999999991</v>
      </c>
      <c r="J21" t="str" cm="1">
        <f t="array" ref="J21">_xlfn.IFS(H21 &gt;= 90, "A", H21 &gt;= 75, "B", H21 &gt;= 50,"C",H21 &lt; 50, "D")</f>
        <v>C</v>
      </c>
      <c r="K21">
        <f t="shared" si="1"/>
        <v>72.2</v>
      </c>
      <c r="L21" t="str">
        <f t="shared" si="2"/>
        <v>Laila Mostafa—C—72.2</v>
      </c>
    </row>
    <row r="22" spans="1:12" x14ac:dyDescent="0.3">
      <c r="A22" t="s">
        <v>296</v>
      </c>
      <c r="B22" t="s">
        <v>277</v>
      </c>
      <c r="C22">
        <v>64</v>
      </c>
      <c r="D22">
        <v>86</v>
      </c>
      <c r="E22">
        <v>77</v>
      </c>
      <c r="F22">
        <v>87</v>
      </c>
      <c r="G22">
        <v>82</v>
      </c>
      <c r="H22">
        <f t="shared" si="0"/>
        <v>62.8</v>
      </c>
      <c r="J22" t="str" cm="1">
        <f t="array" ref="J22">_xlfn.IFS(H22 &gt;= 90, "A", H22 &gt;= 75, "B", H22 &gt;= 50,"C",H22 &lt; 50, "D")</f>
        <v>C</v>
      </c>
      <c r="K22">
        <f t="shared" si="1"/>
        <v>79.2</v>
      </c>
      <c r="L22" t="str">
        <f t="shared" si="2"/>
        <v>Omar Nabil—C—79.2</v>
      </c>
    </row>
    <row r="23" spans="1:12" x14ac:dyDescent="0.3">
      <c r="A23" t="s">
        <v>297</v>
      </c>
      <c r="B23" t="s">
        <v>279</v>
      </c>
      <c r="C23">
        <v>71</v>
      </c>
      <c r="D23">
        <v>95</v>
      </c>
      <c r="E23">
        <v>82</v>
      </c>
      <c r="F23">
        <v>98</v>
      </c>
      <c r="G23">
        <v>85</v>
      </c>
      <c r="H23">
        <f t="shared" si="0"/>
        <v>69.199999999999989</v>
      </c>
      <c r="J23" t="str" cm="1">
        <f t="array" ref="J23">_xlfn.IFS(H23 &gt;= 90, "A", H23 &gt;= 75, "B", H23 &gt;= 50,"C",H23 &lt; 50, "D")</f>
        <v>C</v>
      </c>
      <c r="K23">
        <f t="shared" si="1"/>
        <v>86.2</v>
      </c>
      <c r="L23" t="str">
        <f t="shared" si="2"/>
        <v>Sara Ahmed—C—86.2</v>
      </c>
    </row>
    <row r="24" spans="1:12" x14ac:dyDescent="0.3">
      <c r="A24" t="s">
        <v>298</v>
      </c>
      <c r="B24" t="s">
        <v>281</v>
      </c>
      <c r="C24">
        <v>78</v>
      </c>
      <c r="D24">
        <v>53</v>
      </c>
      <c r="E24">
        <v>87</v>
      </c>
      <c r="F24">
        <v>60</v>
      </c>
      <c r="G24">
        <v>88</v>
      </c>
      <c r="H24">
        <f t="shared" si="0"/>
        <v>55.600000000000009</v>
      </c>
      <c r="J24" t="str" cm="1">
        <f t="array" ref="J24">_xlfn.IFS(H24 &gt;= 90, "A", H24 &gt;= 75, "B", H24 &gt;= 50,"C",H24 &lt; 50, "D")</f>
        <v>C</v>
      </c>
      <c r="K24">
        <f t="shared" si="1"/>
        <v>73.2</v>
      </c>
      <c r="L24" t="str">
        <f t="shared" si="2"/>
        <v>Youssef Tarek—C—73.2</v>
      </c>
    </row>
    <row r="25" spans="1:12" x14ac:dyDescent="0.3">
      <c r="A25" t="s">
        <v>299</v>
      </c>
      <c r="B25" t="s">
        <v>283</v>
      </c>
      <c r="C25">
        <v>85</v>
      </c>
      <c r="D25">
        <v>62</v>
      </c>
      <c r="E25">
        <v>92</v>
      </c>
      <c r="F25">
        <v>71</v>
      </c>
      <c r="G25">
        <v>91</v>
      </c>
      <c r="H25">
        <f t="shared" si="0"/>
        <v>62</v>
      </c>
      <c r="J25" t="str" cm="1">
        <f t="array" ref="J25">_xlfn.IFS(H25 &gt;= 90, "A", H25 &gt;= 75, "B", H25 &gt;= 50,"C",H25 &lt; 50, "D")</f>
        <v>C</v>
      </c>
      <c r="K25">
        <f t="shared" si="1"/>
        <v>80.2</v>
      </c>
      <c r="L25" t="str">
        <f t="shared" si="2"/>
        <v>Nour Khaled—C—80.2</v>
      </c>
    </row>
    <row r="26" spans="1:12" x14ac:dyDescent="0.3">
      <c r="A26" t="s">
        <v>300</v>
      </c>
      <c r="B26" t="s">
        <v>269</v>
      </c>
      <c r="C26">
        <v>92</v>
      </c>
      <c r="D26">
        <v>71</v>
      </c>
      <c r="E26">
        <v>97</v>
      </c>
      <c r="F26">
        <v>82</v>
      </c>
      <c r="G26">
        <v>94</v>
      </c>
      <c r="H26">
        <f t="shared" si="0"/>
        <v>68.400000000000006</v>
      </c>
      <c r="J26" t="str" cm="1">
        <f t="array" ref="J26">_xlfn.IFS(H26 &gt;= 90, "A", H26 &gt;= 75, "B", H26 &gt;= 50,"C",H26 &lt; 50, "D")</f>
        <v>C</v>
      </c>
      <c r="K26">
        <f t="shared" si="1"/>
        <v>87.2</v>
      </c>
      <c r="L26" t="str">
        <f t="shared" si="2"/>
        <v>Ali Hassan—C—87.2</v>
      </c>
    </row>
    <row r="27" spans="1:12" x14ac:dyDescent="0.3">
      <c r="A27" t="s">
        <v>301</v>
      </c>
      <c r="B27" t="s">
        <v>271</v>
      </c>
      <c r="C27">
        <v>99</v>
      </c>
      <c r="D27">
        <v>80</v>
      </c>
      <c r="E27">
        <v>59</v>
      </c>
      <c r="F27">
        <v>93</v>
      </c>
      <c r="G27">
        <v>97</v>
      </c>
      <c r="H27">
        <f t="shared" si="0"/>
        <v>66.2</v>
      </c>
      <c r="J27" t="str" cm="1">
        <f t="array" ref="J27">_xlfn.IFS(H27 &gt;= 90, "A", H27 &gt;= 75, "B", H27 &gt;= 50,"C",H27 &lt; 50, "D")</f>
        <v>C</v>
      </c>
      <c r="K27">
        <f t="shared" si="1"/>
        <v>85.6</v>
      </c>
      <c r="L27" t="str">
        <f t="shared" si="2"/>
        <v>Mona Adel—C—85.6</v>
      </c>
    </row>
    <row r="28" spans="1:12" x14ac:dyDescent="0.3">
      <c r="A28" t="s">
        <v>302</v>
      </c>
      <c r="B28" t="s">
        <v>273</v>
      </c>
      <c r="C28">
        <v>60</v>
      </c>
      <c r="D28">
        <v>89</v>
      </c>
      <c r="E28">
        <v>64</v>
      </c>
      <c r="F28">
        <v>55</v>
      </c>
      <c r="G28">
        <v>100</v>
      </c>
      <c r="H28">
        <f t="shared" si="0"/>
        <v>53.6</v>
      </c>
      <c r="J28" t="str" cm="1">
        <f t="array" ref="J28">_xlfn.IFS(H28 &gt;= 90, "A", H28 &gt;= 75, "B", H28 &gt;= 50,"C",H28 &lt; 50, "D")</f>
        <v>C</v>
      </c>
      <c r="K28">
        <f t="shared" si="1"/>
        <v>73.599999999999994</v>
      </c>
      <c r="L28" t="str">
        <f t="shared" si="2"/>
        <v>Karim Samir—C—73.6</v>
      </c>
    </row>
    <row r="29" spans="1:12" x14ac:dyDescent="0.3">
      <c r="A29" t="s">
        <v>303</v>
      </c>
      <c r="B29" t="s">
        <v>275</v>
      </c>
      <c r="C29">
        <v>67</v>
      </c>
      <c r="D29">
        <v>98</v>
      </c>
      <c r="E29">
        <v>69</v>
      </c>
      <c r="F29">
        <v>66</v>
      </c>
      <c r="G29">
        <v>62</v>
      </c>
      <c r="H29">
        <f t="shared" si="0"/>
        <v>60</v>
      </c>
      <c r="J29" t="str" cm="1">
        <f t="array" ref="J29">_xlfn.IFS(H29 &gt;= 90, "A", H29 &gt;= 75, "B", H29 &gt;= 50,"C",H29 &lt; 50, "D")</f>
        <v>C</v>
      </c>
      <c r="K29">
        <f t="shared" si="1"/>
        <v>72.400000000000006</v>
      </c>
      <c r="L29" t="str">
        <f t="shared" si="2"/>
        <v>Laila Mostafa—C—72.4</v>
      </c>
    </row>
    <row r="30" spans="1:12" x14ac:dyDescent="0.3">
      <c r="A30" t="s">
        <v>304</v>
      </c>
      <c r="B30" t="s">
        <v>277</v>
      </c>
      <c r="C30">
        <v>74</v>
      </c>
      <c r="D30">
        <v>56</v>
      </c>
      <c r="E30">
        <v>74</v>
      </c>
      <c r="F30">
        <v>77</v>
      </c>
      <c r="G30">
        <v>65</v>
      </c>
      <c r="H30">
        <f t="shared" si="0"/>
        <v>56.2</v>
      </c>
      <c r="J30" t="str" cm="1">
        <f t="array" ref="J30">_xlfn.IFS(H30 &gt;= 90, "A", H30 &gt;= 75, "B", H30 &gt;= 50,"C",H30 &lt; 50, "D")</f>
        <v>C</v>
      </c>
      <c r="K30">
        <f t="shared" si="1"/>
        <v>69.2</v>
      </c>
      <c r="L30" t="str">
        <f t="shared" si="2"/>
        <v>Omar Nabil—C—69.2</v>
      </c>
    </row>
    <row r="31" spans="1:12" x14ac:dyDescent="0.3">
      <c r="A31" t="s">
        <v>305</v>
      </c>
      <c r="B31" t="s">
        <v>279</v>
      </c>
      <c r="C31">
        <v>81</v>
      </c>
      <c r="D31">
        <v>65</v>
      </c>
      <c r="E31">
        <v>79</v>
      </c>
      <c r="F31">
        <v>88</v>
      </c>
      <c r="G31">
        <v>68</v>
      </c>
      <c r="H31">
        <f t="shared" si="0"/>
        <v>62.6</v>
      </c>
      <c r="J31" t="str" cm="1">
        <f t="array" ref="J31">_xlfn.IFS(H31 &gt;= 90, "A", H31 &gt;= 75, "B", H31 &gt;= 50,"C",H31 &lt; 50, "D")</f>
        <v>C</v>
      </c>
      <c r="K31">
        <f t="shared" si="1"/>
        <v>76.2</v>
      </c>
      <c r="L31" t="str">
        <f t="shared" si="2"/>
        <v>Sara Ahmed—C—76.2</v>
      </c>
    </row>
    <row r="32" spans="1:12" x14ac:dyDescent="0.3">
      <c r="A32" t="s">
        <v>306</v>
      </c>
      <c r="B32" t="s">
        <v>281</v>
      </c>
      <c r="C32">
        <v>88</v>
      </c>
      <c r="D32">
        <v>74</v>
      </c>
      <c r="E32">
        <v>84</v>
      </c>
      <c r="F32">
        <v>99</v>
      </c>
      <c r="G32">
        <v>71</v>
      </c>
      <c r="H32">
        <f t="shared" si="0"/>
        <v>69</v>
      </c>
      <c r="J32" t="str" cm="1">
        <f t="array" ref="J32">_xlfn.IFS(H32 &gt;= 90, "A", H32 &gt;= 75, "B", H32 &gt;= 50,"C",H32 &lt; 50, "D")</f>
        <v>C</v>
      </c>
      <c r="K32">
        <f t="shared" si="1"/>
        <v>83.2</v>
      </c>
      <c r="L32" t="str">
        <f t="shared" si="2"/>
        <v>Youssef Tarek—C—83.2</v>
      </c>
    </row>
    <row r="33" spans="1:12" x14ac:dyDescent="0.3">
      <c r="A33" t="s">
        <v>307</v>
      </c>
      <c r="B33" t="s">
        <v>283</v>
      </c>
      <c r="C33">
        <v>95</v>
      </c>
      <c r="D33">
        <v>83</v>
      </c>
      <c r="E33">
        <v>89</v>
      </c>
      <c r="F33">
        <v>61</v>
      </c>
      <c r="G33">
        <v>74</v>
      </c>
      <c r="H33">
        <f t="shared" si="0"/>
        <v>65.600000000000009</v>
      </c>
      <c r="J33" t="str" cm="1">
        <f t="array" ref="J33">_xlfn.IFS(H33 &gt;= 90, "A", H33 &gt;= 75, "B", H33 &gt;= 50,"C",H33 &lt; 50, "D")</f>
        <v>C</v>
      </c>
      <c r="K33">
        <f t="shared" si="1"/>
        <v>80.400000000000006</v>
      </c>
      <c r="L33" t="str">
        <f t="shared" si="2"/>
        <v>Nour Khaled—C—80.4</v>
      </c>
    </row>
    <row r="34" spans="1:12" x14ac:dyDescent="0.3">
      <c r="A34" t="s">
        <v>308</v>
      </c>
      <c r="B34" t="s">
        <v>269</v>
      </c>
      <c r="C34">
        <v>56</v>
      </c>
      <c r="D34">
        <v>92</v>
      </c>
      <c r="E34">
        <v>94</v>
      </c>
      <c r="F34">
        <v>72</v>
      </c>
      <c r="G34">
        <v>77</v>
      </c>
      <c r="H34">
        <f t="shared" si="0"/>
        <v>62.8</v>
      </c>
      <c r="J34" t="str" cm="1">
        <f t="array" ref="J34">_xlfn.IFS(H34 &gt;= 90, "A", H34 &gt;= 75, "B", H34 &gt;= 50,"C",H34 &lt; 50, "D")</f>
        <v>C</v>
      </c>
      <c r="K34">
        <f t="shared" si="1"/>
        <v>78.2</v>
      </c>
      <c r="L34" t="str">
        <f t="shared" si="2"/>
        <v>Ali Hassan—C—78.2</v>
      </c>
    </row>
    <row r="35" spans="1:12" x14ac:dyDescent="0.3">
      <c r="A35" t="s">
        <v>309</v>
      </c>
      <c r="B35" t="s">
        <v>271</v>
      </c>
      <c r="C35">
        <v>63</v>
      </c>
      <c r="D35">
        <v>50</v>
      </c>
      <c r="E35">
        <v>99</v>
      </c>
      <c r="F35">
        <v>83</v>
      </c>
      <c r="G35">
        <v>80</v>
      </c>
      <c r="H35">
        <f t="shared" si="0"/>
        <v>59</v>
      </c>
      <c r="J35" t="str" cm="1">
        <f t="array" ref="J35">_xlfn.IFS(H35 &gt;= 90, "A", H35 &gt;= 75, "B", H35 &gt;= 50,"C",H35 &lt; 50, "D")</f>
        <v>C</v>
      </c>
      <c r="K35">
        <f t="shared" si="1"/>
        <v>75</v>
      </c>
      <c r="L35" t="str">
        <f t="shared" si="2"/>
        <v>Mona Adel—C—75</v>
      </c>
    </row>
    <row r="36" spans="1:12" x14ac:dyDescent="0.3">
      <c r="A36" t="s">
        <v>310</v>
      </c>
      <c r="B36" t="s">
        <v>273</v>
      </c>
      <c r="C36">
        <v>70</v>
      </c>
      <c r="D36">
        <v>59</v>
      </c>
      <c r="E36">
        <v>61</v>
      </c>
      <c r="F36">
        <v>94</v>
      </c>
      <c r="G36">
        <v>83</v>
      </c>
      <c r="H36">
        <f t="shared" si="0"/>
        <v>56.8</v>
      </c>
      <c r="J36" t="str" cm="1">
        <f t="array" ref="J36">_xlfn.IFS(H36 &gt;= 90, "A", H36 &gt;= 75, "B", H36 &gt;= 50,"C",H36 &lt; 50, "D")</f>
        <v>C</v>
      </c>
      <c r="K36">
        <f t="shared" si="1"/>
        <v>73.400000000000006</v>
      </c>
      <c r="L36" t="str">
        <f t="shared" si="2"/>
        <v>Karim Samir—C—73.4</v>
      </c>
    </row>
    <row r="37" spans="1:12" x14ac:dyDescent="0.3">
      <c r="A37" t="s">
        <v>311</v>
      </c>
      <c r="B37" t="s">
        <v>275</v>
      </c>
      <c r="C37">
        <v>77</v>
      </c>
      <c r="D37">
        <v>68</v>
      </c>
      <c r="E37">
        <v>66</v>
      </c>
      <c r="F37">
        <v>56</v>
      </c>
      <c r="G37">
        <v>86</v>
      </c>
      <c r="H37">
        <f t="shared" si="0"/>
        <v>53.400000000000006</v>
      </c>
      <c r="J37" t="str" cm="1">
        <f t="array" ref="J37">_xlfn.IFS(H37 &gt;= 90, "A", H37 &gt;= 75, "B", H37 &gt;= 50,"C",H37 &lt; 50, "D")</f>
        <v>C</v>
      </c>
      <c r="K37">
        <f t="shared" si="1"/>
        <v>70.599999999999994</v>
      </c>
      <c r="L37" t="str">
        <f t="shared" si="2"/>
        <v>Laila Mostafa—C—70.6</v>
      </c>
    </row>
    <row r="38" spans="1:12" x14ac:dyDescent="0.3">
      <c r="A38" t="s">
        <v>312</v>
      </c>
      <c r="B38" t="s">
        <v>277</v>
      </c>
      <c r="C38">
        <v>84</v>
      </c>
      <c r="D38">
        <v>77</v>
      </c>
      <c r="E38">
        <v>71</v>
      </c>
      <c r="F38">
        <v>67</v>
      </c>
      <c r="G38">
        <v>89</v>
      </c>
      <c r="H38">
        <f t="shared" si="0"/>
        <v>59.8</v>
      </c>
      <c r="J38" t="str" cm="1">
        <f t="array" ref="J38">_xlfn.IFS(H38 &gt;= 90, "A", H38 &gt;= 75, "B", H38 &gt;= 50,"C",H38 &lt; 50, "D")</f>
        <v>C</v>
      </c>
      <c r="K38">
        <f t="shared" si="1"/>
        <v>77.599999999999994</v>
      </c>
      <c r="L38" t="str">
        <f t="shared" si="2"/>
        <v>Omar Nabil—C—77.6</v>
      </c>
    </row>
    <row r="39" spans="1:12" x14ac:dyDescent="0.3">
      <c r="A39" t="s">
        <v>313</v>
      </c>
      <c r="B39" t="s">
        <v>279</v>
      </c>
      <c r="C39">
        <v>91</v>
      </c>
      <c r="D39">
        <v>86</v>
      </c>
      <c r="E39">
        <v>76</v>
      </c>
      <c r="F39">
        <v>78</v>
      </c>
      <c r="G39">
        <v>92</v>
      </c>
      <c r="H39">
        <f t="shared" si="0"/>
        <v>66.2</v>
      </c>
      <c r="J39" t="str" cm="1">
        <f t="array" ref="J39">_xlfn.IFS(H39 &gt;= 90, "A", H39 &gt;= 75, "B", H39 &gt;= 50,"C",H39 &lt; 50, "D")</f>
        <v>C</v>
      </c>
      <c r="K39">
        <f t="shared" si="1"/>
        <v>84.6</v>
      </c>
      <c r="L39" t="str">
        <f t="shared" si="2"/>
        <v>Sara Ahmed—C—84.6</v>
      </c>
    </row>
    <row r="40" spans="1:12" x14ac:dyDescent="0.3">
      <c r="A40" t="s">
        <v>314</v>
      </c>
      <c r="B40" t="s">
        <v>281</v>
      </c>
      <c r="C40">
        <v>98</v>
      </c>
      <c r="D40">
        <v>95</v>
      </c>
      <c r="E40">
        <v>81</v>
      </c>
      <c r="F40">
        <v>89</v>
      </c>
      <c r="G40">
        <v>95</v>
      </c>
      <c r="H40">
        <f t="shared" si="0"/>
        <v>72.599999999999994</v>
      </c>
      <c r="J40" t="str" cm="1">
        <f t="array" ref="J40">_xlfn.IFS(H40 &gt;= 90, "A", H40 &gt;= 75, "B", H40 &gt;= 50,"C",H40 &lt; 50, "D")</f>
        <v>C</v>
      </c>
      <c r="K40">
        <f t="shared" si="1"/>
        <v>91.6</v>
      </c>
      <c r="L40" t="str">
        <f t="shared" si="2"/>
        <v>Youssef Tarek—C—91.6</v>
      </c>
    </row>
    <row r="41" spans="1:12" x14ac:dyDescent="0.3">
      <c r="A41" t="s">
        <v>315</v>
      </c>
      <c r="B41" t="s">
        <v>283</v>
      </c>
      <c r="C41">
        <v>59</v>
      </c>
      <c r="D41">
        <v>53</v>
      </c>
      <c r="E41">
        <v>86</v>
      </c>
      <c r="F41">
        <v>100</v>
      </c>
      <c r="G41">
        <v>98</v>
      </c>
      <c r="H41">
        <f t="shared" si="0"/>
        <v>59.599999999999994</v>
      </c>
      <c r="J41" t="str" cm="1">
        <f t="array" ref="J41">_xlfn.IFS(H41 &gt;= 90, "A", H41 &gt;= 75, "B", H41 &gt;= 50,"C",H41 &lt; 50, "D")</f>
        <v>C</v>
      </c>
      <c r="K41">
        <f t="shared" si="1"/>
        <v>79.2</v>
      </c>
      <c r="L41" t="str">
        <f t="shared" si="2"/>
        <v>Nour Khaled—C—79.2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195A-47AD-4574-B2F9-38D7CEA58F96}">
  <dimension ref="A1:I201"/>
  <sheetViews>
    <sheetView tabSelected="1" workbookViewId="0">
      <selection activeCell="K8" sqref="K8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9.44140625" bestFit="1" customWidth="1"/>
    <col min="4" max="4" width="10.21875" bestFit="1" customWidth="1"/>
    <col min="5" max="5" width="16.5546875" bestFit="1" customWidth="1"/>
    <col min="8" max="8" width="17.77734375" style="4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321</v>
      </c>
      <c r="G1" s="1" t="s">
        <v>322</v>
      </c>
      <c r="H1" s="3" t="s">
        <v>323</v>
      </c>
      <c r="I1" s="3" t="s">
        <v>261</v>
      </c>
    </row>
    <row r="2" spans="1:9" x14ac:dyDescent="0.3">
      <c r="A2" t="s">
        <v>5</v>
      </c>
      <c r="B2" t="s">
        <v>6</v>
      </c>
      <c r="C2" t="s">
        <v>7</v>
      </c>
      <c r="D2">
        <v>15913</v>
      </c>
      <c r="E2" s="2">
        <v>46246</v>
      </c>
      <c r="F2">
        <f>INDEX(D2:D201, MATCH(A6,A2:A201,0))</f>
        <v>47565</v>
      </c>
      <c r="G2" t="str" cm="1">
        <f t="array" ref="G2:G201">_xlfn.IFS(D2:D201 &gt;= 50000, "Gold", D2:D201 &gt;= 20000, "Silver", TRUE, "Bronze")</f>
        <v>Bronze</v>
      </c>
      <c r="H2" s="4">
        <f ca="1">TODAY() - E2</f>
        <v>8</v>
      </c>
      <c r="I2" t="str">
        <f ca="1">IF(H2 &gt;= 90,"At Risk", "Active")</f>
        <v>Active</v>
      </c>
    </row>
    <row r="3" spans="1:9" x14ac:dyDescent="0.3">
      <c r="A3" t="s">
        <v>8</v>
      </c>
      <c r="B3" t="s">
        <v>9</v>
      </c>
      <c r="C3" t="s">
        <v>10</v>
      </c>
      <c r="D3">
        <v>23826</v>
      </c>
      <c r="E3" s="2">
        <v>46239</v>
      </c>
      <c r="G3" t="str">
        <v>Silver</v>
      </c>
      <c r="H3" s="4">
        <f t="shared" ref="H3:H66" ca="1" si="0">TODAY() - E3</f>
        <v>15</v>
      </c>
      <c r="I3" t="str">
        <f t="shared" ref="I3:I66" ca="1" si="1">IF(H3 &gt;= 90,"At Risk", "Active")</f>
        <v>Active</v>
      </c>
    </row>
    <row r="4" spans="1:9" x14ac:dyDescent="0.3">
      <c r="A4" t="s">
        <v>11</v>
      </c>
      <c r="B4" t="s">
        <v>12</v>
      </c>
      <c r="C4" t="s">
        <v>13</v>
      </c>
      <c r="D4">
        <v>31739</v>
      </c>
      <c r="E4" s="2">
        <v>46232</v>
      </c>
      <c r="G4" t="str">
        <v>Silver</v>
      </c>
      <c r="H4" s="4">
        <f t="shared" ca="1" si="0"/>
        <v>22</v>
      </c>
      <c r="I4" t="str">
        <f t="shared" ca="1" si="1"/>
        <v>Active</v>
      </c>
    </row>
    <row r="5" spans="1:9" x14ac:dyDescent="0.3">
      <c r="A5" t="s">
        <v>14</v>
      </c>
      <c r="B5" t="s">
        <v>15</v>
      </c>
      <c r="C5" t="s">
        <v>16</v>
      </c>
      <c r="D5">
        <v>39652</v>
      </c>
      <c r="E5" s="2">
        <v>46225</v>
      </c>
      <c r="G5" t="str">
        <v>Silver</v>
      </c>
      <c r="H5" s="4">
        <f t="shared" ca="1" si="0"/>
        <v>29</v>
      </c>
      <c r="I5" t="str">
        <f t="shared" ca="1" si="1"/>
        <v>Active</v>
      </c>
    </row>
    <row r="6" spans="1:9" x14ac:dyDescent="0.3">
      <c r="A6" t="s">
        <v>17</v>
      </c>
      <c r="B6" t="s">
        <v>18</v>
      </c>
      <c r="C6" t="s">
        <v>19</v>
      </c>
      <c r="D6">
        <v>47565</v>
      </c>
      <c r="E6" s="2">
        <v>46218</v>
      </c>
      <c r="G6" t="str">
        <v>Silver</v>
      </c>
      <c r="H6" s="4">
        <f t="shared" ca="1" si="0"/>
        <v>36</v>
      </c>
      <c r="I6" t="str">
        <f t="shared" ca="1" si="1"/>
        <v>Active</v>
      </c>
    </row>
    <row r="7" spans="1:9" x14ac:dyDescent="0.3">
      <c r="A7" t="s">
        <v>20</v>
      </c>
      <c r="B7" t="s">
        <v>21</v>
      </c>
      <c r="C7" t="s">
        <v>7</v>
      </c>
      <c r="D7">
        <v>55478</v>
      </c>
      <c r="E7" s="2">
        <v>46211</v>
      </c>
      <c r="G7" t="str">
        <v>Gold</v>
      </c>
      <c r="H7" s="4">
        <f t="shared" ca="1" si="0"/>
        <v>43</v>
      </c>
      <c r="I7" t="str">
        <f t="shared" ca="1" si="1"/>
        <v>Active</v>
      </c>
    </row>
    <row r="8" spans="1:9" x14ac:dyDescent="0.3">
      <c r="A8" t="s">
        <v>22</v>
      </c>
      <c r="B8" t="s">
        <v>23</v>
      </c>
      <c r="C8" t="s">
        <v>10</v>
      </c>
      <c r="D8">
        <v>63391</v>
      </c>
      <c r="E8" s="2">
        <v>46204</v>
      </c>
      <c r="G8" t="str">
        <v>Gold</v>
      </c>
      <c r="H8" s="4">
        <f t="shared" ca="1" si="0"/>
        <v>50</v>
      </c>
      <c r="I8" t="str">
        <f t="shared" ca="1" si="1"/>
        <v>Active</v>
      </c>
    </row>
    <row r="9" spans="1:9" x14ac:dyDescent="0.3">
      <c r="A9" t="s">
        <v>24</v>
      </c>
      <c r="B9" t="s">
        <v>25</v>
      </c>
      <c r="C9" t="s">
        <v>13</v>
      </c>
      <c r="D9">
        <v>71304</v>
      </c>
      <c r="E9" s="2">
        <v>46197</v>
      </c>
      <c r="G9" t="str">
        <v>Gold</v>
      </c>
      <c r="H9" s="4">
        <f t="shared" ca="1" si="0"/>
        <v>57</v>
      </c>
      <c r="I9" t="str">
        <f t="shared" ca="1" si="1"/>
        <v>Active</v>
      </c>
    </row>
    <row r="10" spans="1:9" x14ac:dyDescent="0.3">
      <c r="A10" t="s">
        <v>26</v>
      </c>
      <c r="B10" t="s">
        <v>6</v>
      </c>
      <c r="C10" t="s">
        <v>16</v>
      </c>
      <c r="D10">
        <v>9217</v>
      </c>
      <c r="E10" s="2">
        <v>46190</v>
      </c>
      <c r="G10" t="str">
        <v>Bronze</v>
      </c>
      <c r="H10" s="4">
        <f t="shared" ca="1" si="0"/>
        <v>64</v>
      </c>
      <c r="I10" t="str">
        <f t="shared" ca="1" si="1"/>
        <v>Active</v>
      </c>
    </row>
    <row r="11" spans="1:9" x14ac:dyDescent="0.3">
      <c r="A11" t="s">
        <v>27</v>
      </c>
      <c r="B11" t="s">
        <v>9</v>
      </c>
      <c r="C11" t="s">
        <v>19</v>
      </c>
      <c r="D11">
        <v>17130</v>
      </c>
      <c r="E11" s="2">
        <v>46183</v>
      </c>
      <c r="G11" t="str">
        <v>Bronze</v>
      </c>
      <c r="H11" s="4">
        <f t="shared" ca="1" si="0"/>
        <v>71</v>
      </c>
      <c r="I11" t="str">
        <f t="shared" ca="1" si="1"/>
        <v>Active</v>
      </c>
    </row>
    <row r="12" spans="1:9" x14ac:dyDescent="0.3">
      <c r="A12" t="s">
        <v>28</v>
      </c>
      <c r="B12" t="s">
        <v>12</v>
      </c>
      <c r="C12" t="s">
        <v>7</v>
      </c>
      <c r="D12">
        <v>25043</v>
      </c>
      <c r="E12" s="2">
        <v>46176</v>
      </c>
      <c r="G12" t="str">
        <v>Silver</v>
      </c>
      <c r="H12" s="4">
        <f t="shared" ca="1" si="0"/>
        <v>78</v>
      </c>
      <c r="I12" t="str">
        <f t="shared" ca="1" si="1"/>
        <v>Active</v>
      </c>
    </row>
    <row r="13" spans="1:9" x14ac:dyDescent="0.3">
      <c r="A13" t="s">
        <v>29</v>
      </c>
      <c r="B13" t="s">
        <v>15</v>
      </c>
      <c r="C13" t="s">
        <v>10</v>
      </c>
      <c r="D13">
        <v>32956</v>
      </c>
      <c r="E13" s="2">
        <v>46169</v>
      </c>
      <c r="G13" t="str">
        <v>Silver</v>
      </c>
      <c r="H13" s="4">
        <f t="shared" ca="1" si="0"/>
        <v>85</v>
      </c>
      <c r="I13" t="str">
        <f t="shared" ca="1" si="1"/>
        <v>Active</v>
      </c>
    </row>
    <row r="14" spans="1:9" x14ac:dyDescent="0.3">
      <c r="A14" t="s">
        <v>30</v>
      </c>
      <c r="B14" t="s">
        <v>18</v>
      </c>
      <c r="C14" t="s">
        <v>13</v>
      </c>
      <c r="D14">
        <v>40869</v>
      </c>
      <c r="E14" s="2">
        <v>46162</v>
      </c>
      <c r="G14" t="str">
        <v>Silver</v>
      </c>
      <c r="H14" s="4">
        <f t="shared" ca="1" si="0"/>
        <v>92</v>
      </c>
      <c r="I14" t="str">
        <f t="shared" ca="1" si="1"/>
        <v>At Risk</v>
      </c>
    </row>
    <row r="15" spans="1:9" x14ac:dyDescent="0.3">
      <c r="A15" t="s">
        <v>31</v>
      </c>
      <c r="B15" t="s">
        <v>21</v>
      </c>
      <c r="C15" t="s">
        <v>16</v>
      </c>
      <c r="D15">
        <v>48782</v>
      </c>
      <c r="E15" s="2">
        <v>46155</v>
      </c>
      <c r="G15" t="str">
        <v>Silver</v>
      </c>
      <c r="H15" s="4">
        <f t="shared" ca="1" si="0"/>
        <v>99</v>
      </c>
      <c r="I15" t="str">
        <f t="shared" ca="1" si="1"/>
        <v>At Risk</v>
      </c>
    </row>
    <row r="16" spans="1:9" x14ac:dyDescent="0.3">
      <c r="A16" t="s">
        <v>32</v>
      </c>
      <c r="B16" t="s">
        <v>23</v>
      </c>
      <c r="C16" t="s">
        <v>19</v>
      </c>
      <c r="D16">
        <v>56695</v>
      </c>
      <c r="E16" s="2">
        <v>46148</v>
      </c>
      <c r="G16" t="str">
        <v>Gold</v>
      </c>
      <c r="H16" s="4">
        <f t="shared" ca="1" si="0"/>
        <v>106</v>
      </c>
      <c r="I16" t="str">
        <f t="shared" ca="1" si="1"/>
        <v>At Risk</v>
      </c>
    </row>
    <row r="17" spans="1:9" x14ac:dyDescent="0.3">
      <c r="A17" t="s">
        <v>33</v>
      </c>
      <c r="B17" t="s">
        <v>25</v>
      </c>
      <c r="C17" t="s">
        <v>7</v>
      </c>
      <c r="D17">
        <v>64608</v>
      </c>
      <c r="E17" s="2">
        <v>46141</v>
      </c>
      <c r="G17" t="str">
        <v>Gold</v>
      </c>
      <c r="H17" s="4">
        <f t="shared" ca="1" si="0"/>
        <v>113</v>
      </c>
      <c r="I17" t="str">
        <f t="shared" ca="1" si="1"/>
        <v>At Risk</v>
      </c>
    </row>
    <row r="18" spans="1:9" x14ac:dyDescent="0.3">
      <c r="A18" t="s">
        <v>34</v>
      </c>
      <c r="B18" t="s">
        <v>6</v>
      </c>
      <c r="C18" t="s">
        <v>10</v>
      </c>
      <c r="D18">
        <v>72521</v>
      </c>
      <c r="E18" s="2">
        <v>46134</v>
      </c>
      <c r="G18" t="str">
        <v>Gold</v>
      </c>
      <c r="H18" s="4">
        <f t="shared" ca="1" si="0"/>
        <v>120</v>
      </c>
      <c r="I18" t="str">
        <f t="shared" ca="1" si="1"/>
        <v>At Risk</v>
      </c>
    </row>
    <row r="19" spans="1:9" x14ac:dyDescent="0.3">
      <c r="A19" t="s">
        <v>35</v>
      </c>
      <c r="B19" t="s">
        <v>9</v>
      </c>
      <c r="C19" t="s">
        <v>13</v>
      </c>
      <c r="D19">
        <v>10434</v>
      </c>
      <c r="E19" s="2">
        <v>46127</v>
      </c>
      <c r="G19" t="str">
        <v>Bronze</v>
      </c>
      <c r="H19" s="4">
        <f t="shared" ca="1" si="0"/>
        <v>127</v>
      </c>
      <c r="I19" t="str">
        <f t="shared" ca="1" si="1"/>
        <v>At Risk</v>
      </c>
    </row>
    <row r="20" spans="1:9" x14ac:dyDescent="0.3">
      <c r="A20" t="s">
        <v>36</v>
      </c>
      <c r="B20" t="s">
        <v>12</v>
      </c>
      <c r="C20" t="s">
        <v>16</v>
      </c>
      <c r="D20">
        <v>18347</v>
      </c>
      <c r="E20" s="2">
        <v>46120</v>
      </c>
      <c r="G20" t="str">
        <v>Bronze</v>
      </c>
      <c r="H20" s="4">
        <f t="shared" ca="1" si="0"/>
        <v>134</v>
      </c>
      <c r="I20" t="str">
        <f t="shared" ca="1" si="1"/>
        <v>At Risk</v>
      </c>
    </row>
    <row r="21" spans="1:9" x14ac:dyDescent="0.3">
      <c r="A21" t="s">
        <v>37</v>
      </c>
      <c r="B21" t="s">
        <v>15</v>
      </c>
      <c r="C21" t="s">
        <v>19</v>
      </c>
      <c r="D21">
        <v>26260</v>
      </c>
      <c r="E21" s="2">
        <v>46113</v>
      </c>
      <c r="G21" t="str">
        <v>Silver</v>
      </c>
      <c r="H21" s="4">
        <f t="shared" ca="1" si="0"/>
        <v>141</v>
      </c>
      <c r="I21" t="str">
        <f t="shared" ca="1" si="1"/>
        <v>At Risk</v>
      </c>
    </row>
    <row r="22" spans="1:9" x14ac:dyDescent="0.3">
      <c r="A22" t="s">
        <v>38</v>
      </c>
      <c r="B22" t="s">
        <v>18</v>
      </c>
      <c r="C22" t="s">
        <v>7</v>
      </c>
      <c r="D22">
        <v>34173</v>
      </c>
      <c r="E22" s="2">
        <v>46106</v>
      </c>
      <c r="G22" t="str">
        <v>Silver</v>
      </c>
      <c r="H22" s="4">
        <f t="shared" ca="1" si="0"/>
        <v>148</v>
      </c>
      <c r="I22" t="str">
        <f t="shared" ca="1" si="1"/>
        <v>At Risk</v>
      </c>
    </row>
    <row r="23" spans="1:9" x14ac:dyDescent="0.3">
      <c r="A23" t="s">
        <v>39</v>
      </c>
      <c r="B23" t="s">
        <v>21</v>
      </c>
      <c r="C23" t="s">
        <v>10</v>
      </c>
      <c r="D23">
        <v>42086</v>
      </c>
      <c r="E23" s="2">
        <v>46099</v>
      </c>
      <c r="G23" t="str">
        <v>Silver</v>
      </c>
      <c r="H23" s="4">
        <f t="shared" ca="1" si="0"/>
        <v>155</v>
      </c>
      <c r="I23" t="str">
        <f t="shared" ca="1" si="1"/>
        <v>At Risk</v>
      </c>
    </row>
    <row r="24" spans="1:9" x14ac:dyDescent="0.3">
      <c r="A24" t="s">
        <v>40</v>
      </c>
      <c r="B24" t="s">
        <v>23</v>
      </c>
      <c r="C24" t="s">
        <v>13</v>
      </c>
      <c r="D24">
        <v>49999</v>
      </c>
      <c r="E24" s="2">
        <v>46092</v>
      </c>
      <c r="G24" t="str">
        <v>Silver</v>
      </c>
      <c r="H24" s="4">
        <f t="shared" ca="1" si="0"/>
        <v>162</v>
      </c>
      <c r="I24" t="str">
        <f t="shared" ca="1" si="1"/>
        <v>At Risk</v>
      </c>
    </row>
    <row r="25" spans="1:9" x14ac:dyDescent="0.3">
      <c r="A25" t="s">
        <v>41</v>
      </c>
      <c r="B25" t="s">
        <v>25</v>
      </c>
      <c r="C25" t="s">
        <v>16</v>
      </c>
      <c r="D25">
        <v>57912</v>
      </c>
      <c r="E25" s="2">
        <v>46085</v>
      </c>
      <c r="G25" t="str">
        <v>Gold</v>
      </c>
      <c r="H25" s="4">
        <f t="shared" ca="1" si="0"/>
        <v>169</v>
      </c>
      <c r="I25" t="str">
        <f t="shared" ca="1" si="1"/>
        <v>At Risk</v>
      </c>
    </row>
    <row r="26" spans="1:9" x14ac:dyDescent="0.3">
      <c r="A26" t="s">
        <v>42</v>
      </c>
      <c r="B26" t="s">
        <v>6</v>
      </c>
      <c r="C26" t="s">
        <v>19</v>
      </c>
      <c r="D26">
        <v>65825</v>
      </c>
      <c r="E26" s="2">
        <v>46078</v>
      </c>
      <c r="G26" t="str">
        <v>Gold</v>
      </c>
      <c r="H26" s="4">
        <f t="shared" ca="1" si="0"/>
        <v>176</v>
      </c>
      <c r="I26" t="str">
        <f t="shared" ca="1" si="1"/>
        <v>At Risk</v>
      </c>
    </row>
    <row r="27" spans="1:9" x14ac:dyDescent="0.3">
      <c r="A27" t="s">
        <v>43</v>
      </c>
      <c r="B27" t="s">
        <v>9</v>
      </c>
      <c r="C27" t="s">
        <v>7</v>
      </c>
      <c r="D27">
        <v>73738</v>
      </c>
      <c r="E27" s="2">
        <v>46071</v>
      </c>
      <c r="G27" t="str">
        <v>Gold</v>
      </c>
      <c r="H27" s="4">
        <f t="shared" ca="1" si="0"/>
        <v>183</v>
      </c>
      <c r="I27" t="str">
        <f t="shared" ca="1" si="1"/>
        <v>At Risk</v>
      </c>
    </row>
    <row r="28" spans="1:9" x14ac:dyDescent="0.3">
      <c r="A28" t="s">
        <v>44</v>
      </c>
      <c r="B28" t="s">
        <v>12</v>
      </c>
      <c r="C28" t="s">
        <v>10</v>
      </c>
      <c r="D28">
        <v>11651</v>
      </c>
      <c r="E28" s="2">
        <v>46064</v>
      </c>
      <c r="G28" t="str">
        <v>Bronze</v>
      </c>
      <c r="H28" s="4">
        <f t="shared" ca="1" si="0"/>
        <v>190</v>
      </c>
      <c r="I28" t="str">
        <f t="shared" ca="1" si="1"/>
        <v>At Risk</v>
      </c>
    </row>
    <row r="29" spans="1:9" x14ac:dyDescent="0.3">
      <c r="A29" t="s">
        <v>45</v>
      </c>
      <c r="B29" t="s">
        <v>15</v>
      </c>
      <c r="C29" t="s">
        <v>13</v>
      </c>
      <c r="D29">
        <v>19564</v>
      </c>
      <c r="E29" s="2">
        <v>46057</v>
      </c>
      <c r="G29" t="str">
        <v>Bronze</v>
      </c>
      <c r="H29" s="4">
        <f t="shared" ca="1" si="0"/>
        <v>197</v>
      </c>
      <c r="I29" t="str">
        <f t="shared" ca="1" si="1"/>
        <v>At Risk</v>
      </c>
    </row>
    <row r="30" spans="1:9" x14ac:dyDescent="0.3">
      <c r="A30" t="s">
        <v>46</v>
      </c>
      <c r="B30" t="s">
        <v>18</v>
      </c>
      <c r="C30" t="s">
        <v>16</v>
      </c>
      <c r="D30">
        <v>27477</v>
      </c>
      <c r="E30" s="2">
        <v>46050</v>
      </c>
      <c r="G30" t="str">
        <v>Silver</v>
      </c>
      <c r="H30" s="4">
        <f t="shared" ca="1" si="0"/>
        <v>204</v>
      </c>
      <c r="I30" t="str">
        <f t="shared" ca="1" si="1"/>
        <v>At Risk</v>
      </c>
    </row>
    <row r="31" spans="1:9" x14ac:dyDescent="0.3">
      <c r="A31" t="s">
        <v>47</v>
      </c>
      <c r="B31" t="s">
        <v>21</v>
      </c>
      <c r="C31" t="s">
        <v>19</v>
      </c>
      <c r="D31">
        <v>35390</v>
      </c>
      <c r="E31" s="2">
        <v>46043</v>
      </c>
      <c r="G31" t="str">
        <v>Silver</v>
      </c>
      <c r="H31" s="4">
        <f t="shared" ca="1" si="0"/>
        <v>211</v>
      </c>
      <c r="I31" t="str">
        <f t="shared" ca="1" si="1"/>
        <v>At Risk</v>
      </c>
    </row>
    <row r="32" spans="1:9" x14ac:dyDescent="0.3">
      <c r="A32" t="s">
        <v>48</v>
      </c>
      <c r="B32" t="s">
        <v>23</v>
      </c>
      <c r="C32" t="s">
        <v>7</v>
      </c>
      <c r="D32">
        <v>43303</v>
      </c>
      <c r="E32" s="2">
        <v>46036</v>
      </c>
      <c r="G32" t="str">
        <v>Silver</v>
      </c>
      <c r="H32" s="4">
        <f t="shared" ca="1" si="0"/>
        <v>218</v>
      </c>
      <c r="I32" t="str">
        <f t="shared" ca="1" si="1"/>
        <v>At Risk</v>
      </c>
    </row>
    <row r="33" spans="1:9" x14ac:dyDescent="0.3">
      <c r="A33" t="s">
        <v>49</v>
      </c>
      <c r="B33" t="s">
        <v>25</v>
      </c>
      <c r="C33" t="s">
        <v>10</v>
      </c>
      <c r="D33">
        <v>51216</v>
      </c>
      <c r="E33" s="2">
        <v>46029</v>
      </c>
      <c r="G33" t="str">
        <v>Gold</v>
      </c>
      <c r="H33" s="4">
        <f t="shared" ca="1" si="0"/>
        <v>225</v>
      </c>
      <c r="I33" t="str">
        <f t="shared" ca="1" si="1"/>
        <v>At Risk</v>
      </c>
    </row>
    <row r="34" spans="1:9" x14ac:dyDescent="0.3">
      <c r="A34" t="s">
        <v>50</v>
      </c>
      <c r="B34" t="s">
        <v>6</v>
      </c>
      <c r="C34" t="s">
        <v>13</v>
      </c>
      <c r="D34">
        <v>59129</v>
      </c>
      <c r="E34" s="2">
        <v>46022</v>
      </c>
      <c r="G34" t="str">
        <v>Gold</v>
      </c>
      <c r="H34" s="4">
        <f t="shared" ca="1" si="0"/>
        <v>232</v>
      </c>
      <c r="I34" t="str">
        <f t="shared" ca="1" si="1"/>
        <v>At Risk</v>
      </c>
    </row>
    <row r="35" spans="1:9" x14ac:dyDescent="0.3">
      <c r="A35" t="s">
        <v>51</v>
      </c>
      <c r="B35" t="s">
        <v>9</v>
      </c>
      <c r="C35" t="s">
        <v>16</v>
      </c>
      <c r="D35">
        <v>67042</v>
      </c>
      <c r="E35" s="2">
        <v>46015</v>
      </c>
      <c r="G35" t="str">
        <v>Gold</v>
      </c>
      <c r="H35" s="4">
        <f t="shared" ca="1" si="0"/>
        <v>239</v>
      </c>
      <c r="I35" t="str">
        <f t="shared" ca="1" si="1"/>
        <v>At Risk</v>
      </c>
    </row>
    <row r="36" spans="1:9" x14ac:dyDescent="0.3">
      <c r="A36" t="s">
        <v>52</v>
      </c>
      <c r="B36" t="s">
        <v>12</v>
      </c>
      <c r="C36" t="s">
        <v>19</v>
      </c>
      <c r="D36">
        <v>74955</v>
      </c>
      <c r="E36" s="2">
        <v>46008</v>
      </c>
      <c r="G36" t="str">
        <v>Gold</v>
      </c>
      <c r="H36" s="4">
        <f t="shared" ca="1" si="0"/>
        <v>246</v>
      </c>
      <c r="I36" t="str">
        <f t="shared" ca="1" si="1"/>
        <v>At Risk</v>
      </c>
    </row>
    <row r="37" spans="1:9" x14ac:dyDescent="0.3">
      <c r="A37" t="s">
        <v>53</v>
      </c>
      <c r="B37" t="s">
        <v>15</v>
      </c>
      <c r="C37" t="s">
        <v>7</v>
      </c>
      <c r="D37">
        <v>12868</v>
      </c>
      <c r="E37" s="2">
        <v>46001</v>
      </c>
      <c r="G37" t="str">
        <v>Bronze</v>
      </c>
      <c r="H37" s="4">
        <f t="shared" ca="1" si="0"/>
        <v>253</v>
      </c>
      <c r="I37" t="str">
        <f t="shared" ca="1" si="1"/>
        <v>At Risk</v>
      </c>
    </row>
    <row r="38" spans="1:9" x14ac:dyDescent="0.3">
      <c r="A38" t="s">
        <v>54</v>
      </c>
      <c r="B38" t="s">
        <v>18</v>
      </c>
      <c r="C38" t="s">
        <v>10</v>
      </c>
      <c r="D38">
        <v>20781</v>
      </c>
      <c r="E38" s="2">
        <v>45994</v>
      </c>
      <c r="G38" t="str">
        <v>Silver</v>
      </c>
      <c r="H38" s="4">
        <f t="shared" ca="1" si="0"/>
        <v>260</v>
      </c>
      <c r="I38" t="str">
        <f t="shared" ca="1" si="1"/>
        <v>At Risk</v>
      </c>
    </row>
    <row r="39" spans="1:9" x14ac:dyDescent="0.3">
      <c r="A39" t="s">
        <v>55</v>
      </c>
      <c r="B39" t="s">
        <v>21</v>
      </c>
      <c r="C39" t="s">
        <v>13</v>
      </c>
      <c r="D39">
        <v>28694</v>
      </c>
      <c r="E39" s="2">
        <v>45987</v>
      </c>
      <c r="G39" t="str">
        <v>Silver</v>
      </c>
      <c r="H39" s="4">
        <f t="shared" ca="1" si="0"/>
        <v>267</v>
      </c>
      <c r="I39" t="str">
        <f t="shared" ca="1" si="1"/>
        <v>At Risk</v>
      </c>
    </row>
    <row r="40" spans="1:9" x14ac:dyDescent="0.3">
      <c r="A40" t="s">
        <v>56</v>
      </c>
      <c r="B40" t="s">
        <v>23</v>
      </c>
      <c r="C40" t="s">
        <v>16</v>
      </c>
      <c r="D40">
        <v>36607</v>
      </c>
      <c r="E40" s="2">
        <v>45980</v>
      </c>
      <c r="G40" t="str">
        <v>Silver</v>
      </c>
      <c r="H40" s="4">
        <f t="shared" ca="1" si="0"/>
        <v>274</v>
      </c>
      <c r="I40" t="str">
        <f t="shared" ca="1" si="1"/>
        <v>At Risk</v>
      </c>
    </row>
    <row r="41" spans="1:9" x14ac:dyDescent="0.3">
      <c r="A41" t="s">
        <v>57</v>
      </c>
      <c r="B41" t="s">
        <v>25</v>
      </c>
      <c r="C41" t="s">
        <v>19</v>
      </c>
      <c r="D41">
        <v>44520</v>
      </c>
      <c r="E41" s="2">
        <v>45973</v>
      </c>
      <c r="G41" t="str">
        <v>Silver</v>
      </c>
      <c r="H41" s="4">
        <f t="shared" ca="1" si="0"/>
        <v>281</v>
      </c>
      <c r="I41" t="str">
        <f t="shared" ca="1" si="1"/>
        <v>At Risk</v>
      </c>
    </row>
    <row r="42" spans="1:9" x14ac:dyDescent="0.3">
      <c r="A42" t="s">
        <v>58</v>
      </c>
      <c r="B42" t="s">
        <v>6</v>
      </c>
      <c r="C42" t="s">
        <v>7</v>
      </c>
      <c r="D42">
        <v>52433</v>
      </c>
      <c r="E42" s="2">
        <v>45966</v>
      </c>
      <c r="G42" t="str">
        <v>Gold</v>
      </c>
      <c r="H42" s="4">
        <f t="shared" ca="1" si="0"/>
        <v>288</v>
      </c>
      <c r="I42" t="str">
        <f t="shared" ca="1" si="1"/>
        <v>At Risk</v>
      </c>
    </row>
    <row r="43" spans="1:9" x14ac:dyDescent="0.3">
      <c r="A43" t="s">
        <v>59</v>
      </c>
      <c r="B43" t="s">
        <v>9</v>
      </c>
      <c r="C43" t="s">
        <v>10</v>
      </c>
      <c r="D43">
        <v>60346</v>
      </c>
      <c r="E43" s="2">
        <v>45959</v>
      </c>
      <c r="G43" t="str">
        <v>Gold</v>
      </c>
      <c r="H43" s="4">
        <f t="shared" ca="1" si="0"/>
        <v>295</v>
      </c>
      <c r="I43" t="str">
        <f t="shared" ca="1" si="1"/>
        <v>At Risk</v>
      </c>
    </row>
    <row r="44" spans="1:9" x14ac:dyDescent="0.3">
      <c r="A44" t="s">
        <v>60</v>
      </c>
      <c r="B44" t="s">
        <v>12</v>
      </c>
      <c r="C44" t="s">
        <v>13</v>
      </c>
      <c r="D44">
        <v>68259</v>
      </c>
      <c r="E44" s="2">
        <v>46252</v>
      </c>
      <c r="G44" t="str">
        <v>Gold</v>
      </c>
      <c r="H44" s="4">
        <f t="shared" ca="1" si="0"/>
        <v>2</v>
      </c>
      <c r="I44" t="str">
        <f t="shared" ca="1" si="1"/>
        <v>Active</v>
      </c>
    </row>
    <row r="45" spans="1:9" x14ac:dyDescent="0.3">
      <c r="A45" t="s">
        <v>61</v>
      </c>
      <c r="B45" t="s">
        <v>15</v>
      </c>
      <c r="C45" t="s">
        <v>16</v>
      </c>
      <c r="D45">
        <v>76172</v>
      </c>
      <c r="E45" s="2">
        <v>46245</v>
      </c>
      <c r="G45" t="str">
        <v>Gold</v>
      </c>
      <c r="H45" s="4">
        <f t="shared" ca="1" si="0"/>
        <v>9</v>
      </c>
      <c r="I45" t="str">
        <f t="shared" ca="1" si="1"/>
        <v>Active</v>
      </c>
    </row>
    <row r="46" spans="1:9" x14ac:dyDescent="0.3">
      <c r="A46" t="s">
        <v>62</v>
      </c>
      <c r="B46" t="s">
        <v>18</v>
      </c>
      <c r="C46" t="s">
        <v>19</v>
      </c>
      <c r="D46">
        <v>14085</v>
      </c>
      <c r="E46" s="2">
        <v>46238</v>
      </c>
      <c r="G46" t="str">
        <v>Bronze</v>
      </c>
      <c r="H46" s="4">
        <f t="shared" ca="1" si="0"/>
        <v>16</v>
      </c>
      <c r="I46" t="str">
        <f t="shared" ca="1" si="1"/>
        <v>Active</v>
      </c>
    </row>
    <row r="47" spans="1:9" x14ac:dyDescent="0.3">
      <c r="A47" t="s">
        <v>63</v>
      </c>
      <c r="B47" t="s">
        <v>21</v>
      </c>
      <c r="C47" t="s">
        <v>7</v>
      </c>
      <c r="D47">
        <v>21998</v>
      </c>
      <c r="E47" s="2">
        <v>46231</v>
      </c>
      <c r="G47" t="str">
        <v>Silver</v>
      </c>
      <c r="H47" s="4">
        <f t="shared" ca="1" si="0"/>
        <v>23</v>
      </c>
      <c r="I47" t="str">
        <f t="shared" ca="1" si="1"/>
        <v>Active</v>
      </c>
    </row>
    <row r="48" spans="1:9" x14ac:dyDescent="0.3">
      <c r="A48" t="s">
        <v>64</v>
      </c>
      <c r="B48" t="s">
        <v>23</v>
      </c>
      <c r="C48" t="s">
        <v>10</v>
      </c>
      <c r="D48">
        <v>29911</v>
      </c>
      <c r="E48" s="2">
        <v>46224</v>
      </c>
      <c r="G48" t="str">
        <v>Silver</v>
      </c>
      <c r="H48" s="4">
        <f t="shared" ca="1" si="0"/>
        <v>30</v>
      </c>
      <c r="I48" t="str">
        <f t="shared" ca="1" si="1"/>
        <v>Active</v>
      </c>
    </row>
    <row r="49" spans="1:9" x14ac:dyDescent="0.3">
      <c r="A49" t="s">
        <v>65</v>
      </c>
      <c r="B49" t="s">
        <v>25</v>
      </c>
      <c r="C49" t="s">
        <v>13</v>
      </c>
      <c r="D49">
        <v>37824</v>
      </c>
      <c r="E49" s="2">
        <v>46217</v>
      </c>
      <c r="G49" t="str">
        <v>Silver</v>
      </c>
      <c r="H49" s="4">
        <f t="shared" ca="1" si="0"/>
        <v>37</v>
      </c>
      <c r="I49" t="str">
        <f t="shared" ca="1" si="1"/>
        <v>Active</v>
      </c>
    </row>
    <row r="50" spans="1:9" x14ac:dyDescent="0.3">
      <c r="A50" t="s">
        <v>66</v>
      </c>
      <c r="B50" t="s">
        <v>6</v>
      </c>
      <c r="C50" t="s">
        <v>16</v>
      </c>
      <c r="D50">
        <v>45737</v>
      </c>
      <c r="E50" s="2">
        <v>46210</v>
      </c>
      <c r="G50" t="str">
        <v>Silver</v>
      </c>
      <c r="H50" s="4">
        <f t="shared" ca="1" si="0"/>
        <v>44</v>
      </c>
      <c r="I50" t="str">
        <f t="shared" ca="1" si="1"/>
        <v>Active</v>
      </c>
    </row>
    <row r="51" spans="1:9" x14ac:dyDescent="0.3">
      <c r="A51" t="s">
        <v>67</v>
      </c>
      <c r="B51" t="s">
        <v>9</v>
      </c>
      <c r="C51" t="s">
        <v>19</v>
      </c>
      <c r="D51">
        <v>53650</v>
      </c>
      <c r="E51" s="2">
        <v>46203</v>
      </c>
      <c r="G51" t="str">
        <v>Gold</v>
      </c>
      <c r="H51" s="4">
        <f t="shared" ca="1" si="0"/>
        <v>51</v>
      </c>
      <c r="I51" t="str">
        <f t="shared" ca="1" si="1"/>
        <v>Active</v>
      </c>
    </row>
    <row r="52" spans="1:9" x14ac:dyDescent="0.3">
      <c r="A52" t="s">
        <v>68</v>
      </c>
      <c r="B52" t="s">
        <v>12</v>
      </c>
      <c r="C52" t="s">
        <v>7</v>
      </c>
      <c r="D52">
        <v>61563</v>
      </c>
      <c r="E52" s="2">
        <v>46196</v>
      </c>
      <c r="G52" t="str">
        <v>Gold</v>
      </c>
      <c r="H52" s="4">
        <f t="shared" ca="1" si="0"/>
        <v>58</v>
      </c>
      <c r="I52" t="str">
        <f t="shared" ca="1" si="1"/>
        <v>Active</v>
      </c>
    </row>
    <row r="53" spans="1:9" x14ac:dyDescent="0.3">
      <c r="A53" t="s">
        <v>69</v>
      </c>
      <c r="B53" t="s">
        <v>15</v>
      </c>
      <c r="C53" t="s">
        <v>10</v>
      </c>
      <c r="D53">
        <v>69476</v>
      </c>
      <c r="E53" s="2">
        <v>46189</v>
      </c>
      <c r="G53" t="str">
        <v>Gold</v>
      </c>
      <c r="H53" s="4">
        <f t="shared" ca="1" si="0"/>
        <v>65</v>
      </c>
      <c r="I53" t="str">
        <f t="shared" ca="1" si="1"/>
        <v>Active</v>
      </c>
    </row>
    <row r="54" spans="1:9" x14ac:dyDescent="0.3">
      <c r="A54" t="s">
        <v>70</v>
      </c>
      <c r="B54" t="s">
        <v>18</v>
      </c>
      <c r="C54" t="s">
        <v>13</v>
      </c>
      <c r="D54">
        <v>77389</v>
      </c>
      <c r="E54" s="2">
        <v>46182</v>
      </c>
      <c r="G54" t="str">
        <v>Gold</v>
      </c>
      <c r="H54" s="4">
        <f t="shared" ca="1" si="0"/>
        <v>72</v>
      </c>
      <c r="I54" t="str">
        <f t="shared" ca="1" si="1"/>
        <v>Active</v>
      </c>
    </row>
    <row r="55" spans="1:9" x14ac:dyDescent="0.3">
      <c r="A55" t="s">
        <v>71</v>
      </c>
      <c r="B55" t="s">
        <v>21</v>
      </c>
      <c r="C55" t="s">
        <v>16</v>
      </c>
      <c r="D55">
        <v>15302</v>
      </c>
      <c r="E55" s="2">
        <v>46175</v>
      </c>
      <c r="G55" t="str">
        <v>Bronze</v>
      </c>
      <c r="H55" s="4">
        <f t="shared" ca="1" si="0"/>
        <v>79</v>
      </c>
      <c r="I55" t="str">
        <f t="shared" ca="1" si="1"/>
        <v>Active</v>
      </c>
    </row>
    <row r="56" spans="1:9" x14ac:dyDescent="0.3">
      <c r="A56" t="s">
        <v>72</v>
      </c>
      <c r="B56" t="s">
        <v>23</v>
      </c>
      <c r="C56" t="s">
        <v>19</v>
      </c>
      <c r="D56">
        <v>23215</v>
      </c>
      <c r="E56" s="2">
        <v>46168</v>
      </c>
      <c r="G56" t="str">
        <v>Silver</v>
      </c>
      <c r="H56" s="4">
        <f t="shared" ca="1" si="0"/>
        <v>86</v>
      </c>
      <c r="I56" t="str">
        <f t="shared" ca="1" si="1"/>
        <v>Active</v>
      </c>
    </row>
    <row r="57" spans="1:9" x14ac:dyDescent="0.3">
      <c r="A57" t="s">
        <v>73</v>
      </c>
      <c r="B57" t="s">
        <v>25</v>
      </c>
      <c r="C57" t="s">
        <v>7</v>
      </c>
      <c r="D57">
        <v>31128</v>
      </c>
      <c r="E57" s="2">
        <v>46161</v>
      </c>
      <c r="G57" t="str">
        <v>Silver</v>
      </c>
      <c r="H57" s="4">
        <f t="shared" ca="1" si="0"/>
        <v>93</v>
      </c>
      <c r="I57" t="str">
        <f t="shared" ca="1" si="1"/>
        <v>At Risk</v>
      </c>
    </row>
    <row r="58" spans="1:9" x14ac:dyDescent="0.3">
      <c r="A58" t="s">
        <v>74</v>
      </c>
      <c r="B58" t="s">
        <v>6</v>
      </c>
      <c r="C58" t="s">
        <v>10</v>
      </c>
      <c r="D58">
        <v>39041</v>
      </c>
      <c r="E58" s="2">
        <v>46154</v>
      </c>
      <c r="G58" t="str">
        <v>Silver</v>
      </c>
      <c r="H58" s="4">
        <f t="shared" ca="1" si="0"/>
        <v>100</v>
      </c>
      <c r="I58" t="str">
        <f t="shared" ca="1" si="1"/>
        <v>At Risk</v>
      </c>
    </row>
    <row r="59" spans="1:9" x14ac:dyDescent="0.3">
      <c r="A59" t="s">
        <v>75</v>
      </c>
      <c r="B59" t="s">
        <v>9</v>
      </c>
      <c r="C59" t="s">
        <v>13</v>
      </c>
      <c r="D59">
        <v>46954</v>
      </c>
      <c r="E59" s="2">
        <v>46147</v>
      </c>
      <c r="G59" t="str">
        <v>Silver</v>
      </c>
      <c r="H59" s="4">
        <f t="shared" ca="1" si="0"/>
        <v>107</v>
      </c>
      <c r="I59" t="str">
        <f t="shared" ca="1" si="1"/>
        <v>At Risk</v>
      </c>
    </row>
    <row r="60" spans="1:9" x14ac:dyDescent="0.3">
      <c r="A60" t="s">
        <v>76</v>
      </c>
      <c r="B60" t="s">
        <v>12</v>
      </c>
      <c r="C60" t="s">
        <v>16</v>
      </c>
      <c r="D60">
        <v>54867</v>
      </c>
      <c r="E60" s="2">
        <v>46140</v>
      </c>
      <c r="G60" t="str">
        <v>Gold</v>
      </c>
      <c r="H60" s="4">
        <f t="shared" ca="1" si="0"/>
        <v>114</v>
      </c>
      <c r="I60" t="str">
        <f t="shared" ca="1" si="1"/>
        <v>At Risk</v>
      </c>
    </row>
    <row r="61" spans="1:9" x14ac:dyDescent="0.3">
      <c r="A61" t="s">
        <v>77</v>
      </c>
      <c r="B61" t="s">
        <v>15</v>
      </c>
      <c r="C61" t="s">
        <v>19</v>
      </c>
      <c r="D61">
        <v>62780</v>
      </c>
      <c r="E61" s="2">
        <v>46133</v>
      </c>
      <c r="G61" t="str">
        <v>Gold</v>
      </c>
      <c r="H61" s="4">
        <f t="shared" ca="1" si="0"/>
        <v>121</v>
      </c>
      <c r="I61" t="str">
        <f t="shared" ca="1" si="1"/>
        <v>At Risk</v>
      </c>
    </row>
    <row r="62" spans="1:9" x14ac:dyDescent="0.3">
      <c r="A62" t="s">
        <v>78</v>
      </c>
      <c r="B62" t="s">
        <v>18</v>
      </c>
      <c r="C62" t="s">
        <v>7</v>
      </c>
      <c r="D62">
        <v>70693</v>
      </c>
      <c r="E62" s="2">
        <v>46126</v>
      </c>
      <c r="G62" t="str">
        <v>Gold</v>
      </c>
      <c r="H62" s="4">
        <f t="shared" ca="1" si="0"/>
        <v>128</v>
      </c>
      <c r="I62" t="str">
        <f t="shared" ca="1" si="1"/>
        <v>At Risk</v>
      </c>
    </row>
    <row r="63" spans="1:9" x14ac:dyDescent="0.3">
      <c r="A63" t="s">
        <v>79</v>
      </c>
      <c r="B63" t="s">
        <v>21</v>
      </c>
      <c r="C63" t="s">
        <v>10</v>
      </c>
      <c r="D63">
        <v>8606</v>
      </c>
      <c r="E63" s="2">
        <v>46119</v>
      </c>
      <c r="G63" t="str">
        <v>Bronze</v>
      </c>
      <c r="H63" s="4">
        <f t="shared" ca="1" si="0"/>
        <v>135</v>
      </c>
      <c r="I63" t="str">
        <f t="shared" ca="1" si="1"/>
        <v>At Risk</v>
      </c>
    </row>
    <row r="64" spans="1:9" x14ac:dyDescent="0.3">
      <c r="A64" t="s">
        <v>80</v>
      </c>
      <c r="B64" t="s">
        <v>23</v>
      </c>
      <c r="C64" t="s">
        <v>13</v>
      </c>
      <c r="D64">
        <v>16519</v>
      </c>
      <c r="E64" s="2">
        <v>46112</v>
      </c>
      <c r="G64" t="str">
        <v>Bronze</v>
      </c>
      <c r="H64" s="4">
        <f t="shared" ca="1" si="0"/>
        <v>142</v>
      </c>
      <c r="I64" t="str">
        <f t="shared" ca="1" si="1"/>
        <v>At Risk</v>
      </c>
    </row>
    <row r="65" spans="1:9" x14ac:dyDescent="0.3">
      <c r="A65" t="s">
        <v>81</v>
      </c>
      <c r="B65" t="s">
        <v>25</v>
      </c>
      <c r="C65" t="s">
        <v>16</v>
      </c>
      <c r="D65">
        <v>24432</v>
      </c>
      <c r="E65" s="2">
        <v>46105</v>
      </c>
      <c r="G65" t="str">
        <v>Silver</v>
      </c>
      <c r="H65" s="4">
        <f t="shared" ca="1" si="0"/>
        <v>149</v>
      </c>
      <c r="I65" t="str">
        <f t="shared" ca="1" si="1"/>
        <v>At Risk</v>
      </c>
    </row>
    <row r="66" spans="1:9" x14ac:dyDescent="0.3">
      <c r="A66" t="s">
        <v>82</v>
      </c>
      <c r="B66" t="s">
        <v>6</v>
      </c>
      <c r="C66" t="s">
        <v>19</v>
      </c>
      <c r="D66">
        <v>32345</v>
      </c>
      <c r="E66" s="2">
        <v>46098</v>
      </c>
      <c r="G66" t="str">
        <v>Silver</v>
      </c>
      <c r="H66" s="4">
        <f t="shared" ca="1" si="0"/>
        <v>156</v>
      </c>
      <c r="I66" t="str">
        <f t="shared" ca="1" si="1"/>
        <v>At Risk</v>
      </c>
    </row>
    <row r="67" spans="1:9" x14ac:dyDescent="0.3">
      <c r="A67" t="s">
        <v>83</v>
      </c>
      <c r="B67" t="s">
        <v>9</v>
      </c>
      <c r="C67" t="s">
        <v>7</v>
      </c>
      <c r="D67">
        <v>40258</v>
      </c>
      <c r="E67" s="2">
        <v>46091</v>
      </c>
      <c r="G67" t="str">
        <v>Silver</v>
      </c>
      <c r="H67" s="4">
        <f t="shared" ref="H67:H130" ca="1" si="2">TODAY() - E67</f>
        <v>163</v>
      </c>
      <c r="I67" t="str">
        <f t="shared" ref="I67:I130" ca="1" si="3">IF(H67 &gt;= 90,"At Risk", "Active")</f>
        <v>At Risk</v>
      </c>
    </row>
    <row r="68" spans="1:9" x14ac:dyDescent="0.3">
      <c r="A68" t="s">
        <v>84</v>
      </c>
      <c r="B68" t="s">
        <v>12</v>
      </c>
      <c r="C68" t="s">
        <v>10</v>
      </c>
      <c r="D68">
        <v>48171</v>
      </c>
      <c r="E68" s="2">
        <v>46084</v>
      </c>
      <c r="G68" t="str">
        <v>Silver</v>
      </c>
      <c r="H68" s="4">
        <f t="shared" ca="1" si="2"/>
        <v>170</v>
      </c>
      <c r="I68" t="str">
        <f t="shared" ca="1" si="3"/>
        <v>At Risk</v>
      </c>
    </row>
    <row r="69" spans="1:9" x14ac:dyDescent="0.3">
      <c r="A69" t="s">
        <v>85</v>
      </c>
      <c r="B69" t="s">
        <v>15</v>
      </c>
      <c r="C69" t="s">
        <v>13</v>
      </c>
      <c r="D69">
        <v>56084</v>
      </c>
      <c r="E69" s="2">
        <v>46077</v>
      </c>
      <c r="G69" t="str">
        <v>Gold</v>
      </c>
      <c r="H69" s="4">
        <f t="shared" ca="1" si="2"/>
        <v>177</v>
      </c>
      <c r="I69" t="str">
        <f t="shared" ca="1" si="3"/>
        <v>At Risk</v>
      </c>
    </row>
    <row r="70" spans="1:9" x14ac:dyDescent="0.3">
      <c r="A70" t="s">
        <v>86</v>
      </c>
      <c r="B70" t="s">
        <v>18</v>
      </c>
      <c r="C70" t="s">
        <v>16</v>
      </c>
      <c r="D70">
        <v>63997</v>
      </c>
      <c r="E70" s="2">
        <v>46070</v>
      </c>
      <c r="G70" t="str">
        <v>Gold</v>
      </c>
      <c r="H70" s="4">
        <f t="shared" ca="1" si="2"/>
        <v>184</v>
      </c>
      <c r="I70" t="str">
        <f t="shared" ca="1" si="3"/>
        <v>At Risk</v>
      </c>
    </row>
    <row r="71" spans="1:9" x14ac:dyDescent="0.3">
      <c r="A71" t="s">
        <v>87</v>
      </c>
      <c r="B71" t="s">
        <v>21</v>
      </c>
      <c r="C71" t="s">
        <v>19</v>
      </c>
      <c r="D71">
        <v>71910</v>
      </c>
      <c r="E71" s="2">
        <v>46063</v>
      </c>
      <c r="G71" t="str">
        <v>Gold</v>
      </c>
      <c r="H71" s="4">
        <f t="shared" ca="1" si="2"/>
        <v>191</v>
      </c>
      <c r="I71" t="str">
        <f t="shared" ca="1" si="3"/>
        <v>At Risk</v>
      </c>
    </row>
    <row r="72" spans="1:9" x14ac:dyDescent="0.3">
      <c r="A72" t="s">
        <v>88</v>
      </c>
      <c r="B72" t="s">
        <v>23</v>
      </c>
      <c r="C72" t="s">
        <v>7</v>
      </c>
      <c r="D72">
        <v>9823</v>
      </c>
      <c r="E72" s="2">
        <v>46056</v>
      </c>
      <c r="G72" t="str">
        <v>Bronze</v>
      </c>
      <c r="H72" s="4">
        <f t="shared" ca="1" si="2"/>
        <v>198</v>
      </c>
      <c r="I72" t="str">
        <f t="shared" ca="1" si="3"/>
        <v>At Risk</v>
      </c>
    </row>
    <row r="73" spans="1:9" x14ac:dyDescent="0.3">
      <c r="A73" t="s">
        <v>89</v>
      </c>
      <c r="B73" t="s">
        <v>25</v>
      </c>
      <c r="C73" t="s">
        <v>10</v>
      </c>
      <c r="D73">
        <v>17736</v>
      </c>
      <c r="E73" s="2">
        <v>46049</v>
      </c>
      <c r="G73" t="str">
        <v>Bronze</v>
      </c>
      <c r="H73" s="4">
        <f t="shared" ca="1" si="2"/>
        <v>205</v>
      </c>
      <c r="I73" t="str">
        <f t="shared" ca="1" si="3"/>
        <v>At Risk</v>
      </c>
    </row>
    <row r="74" spans="1:9" x14ac:dyDescent="0.3">
      <c r="A74" t="s">
        <v>90</v>
      </c>
      <c r="B74" t="s">
        <v>6</v>
      </c>
      <c r="C74" t="s">
        <v>13</v>
      </c>
      <c r="D74">
        <v>25649</v>
      </c>
      <c r="E74" s="2">
        <v>46042</v>
      </c>
      <c r="G74" t="str">
        <v>Silver</v>
      </c>
      <c r="H74" s="4">
        <f t="shared" ca="1" si="2"/>
        <v>212</v>
      </c>
      <c r="I74" t="str">
        <f t="shared" ca="1" si="3"/>
        <v>At Risk</v>
      </c>
    </row>
    <row r="75" spans="1:9" x14ac:dyDescent="0.3">
      <c r="A75" t="s">
        <v>91</v>
      </c>
      <c r="B75" t="s">
        <v>9</v>
      </c>
      <c r="C75" t="s">
        <v>16</v>
      </c>
      <c r="D75">
        <v>33562</v>
      </c>
      <c r="E75" s="2">
        <v>46035</v>
      </c>
      <c r="G75" t="str">
        <v>Silver</v>
      </c>
      <c r="H75" s="4">
        <f t="shared" ca="1" si="2"/>
        <v>219</v>
      </c>
      <c r="I75" t="str">
        <f t="shared" ca="1" si="3"/>
        <v>At Risk</v>
      </c>
    </row>
    <row r="76" spans="1:9" x14ac:dyDescent="0.3">
      <c r="A76" t="s">
        <v>92</v>
      </c>
      <c r="B76" t="s">
        <v>12</v>
      </c>
      <c r="C76" t="s">
        <v>19</v>
      </c>
      <c r="D76">
        <v>41475</v>
      </c>
      <c r="E76" s="2">
        <v>46028</v>
      </c>
      <c r="G76" t="str">
        <v>Silver</v>
      </c>
      <c r="H76" s="4">
        <f t="shared" ca="1" si="2"/>
        <v>226</v>
      </c>
      <c r="I76" t="str">
        <f t="shared" ca="1" si="3"/>
        <v>At Risk</v>
      </c>
    </row>
    <row r="77" spans="1:9" x14ac:dyDescent="0.3">
      <c r="A77" t="s">
        <v>93</v>
      </c>
      <c r="B77" t="s">
        <v>15</v>
      </c>
      <c r="C77" t="s">
        <v>7</v>
      </c>
      <c r="D77">
        <v>49388</v>
      </c>
      <c r="E77" s="2">
        <v>46021</v>
      </c>
      <c r="G77" t="str">
        <v>Silver</v>
      </c>
      <c r="H77" s="4">
        <f t="shared" ca="1" si="2"/>
        <v>233</v>
      </c>
      <c r="I77" t="str">
        <f t="shared" ca="1" si="3"/>
        <v>At Risk</v>
      </c>
    </row>
    <row r="78" spans="1:9" x14ac:dyDescent="0.3">
      <c r="A78" t="s">
        <v>94</v>
      </c>
      <c r="B78" t="s">
        <v>18</v>
      </c>
      <c r="C78" t="s">
        <v>10</v>
      </c>
      <c r="D78">
        <v>57301</v>
      </c>
      <c r="E78" s="2">
        <v>46014</v>
      </c>
      <c r="G78" t="str">
        <v>Gold</v>
      </c>
      <c r="H78" s="4">
        <f t="shared" ca="1" si="2"/>
        <v>240</v>
      </c>
      <c r="I78" t="str">
        <f t="shared" ca="1" si="3"/>
        <v>At Risk</v>
      </c>
    </row>
    <row r="79" spans="1:9" x14ac:dyDescent="0.3">
      <c r="A79" t="s">
        <v>95</v>
      </c>
      <c r="B79" t="s">
        <v>21</v>
      </c>
      <c r="C79" t="s">
        <v>13</v>
      </c>
      <c r="D79">
        <v>65214</v>
      </c>
      <c r="E79" s="2">
        <v>46007</v>
      </c>
      <c r="G79" t="str">
        <v>Gold</v>
      </c>
      <c r="H79" s="4">
        <f t="shared" ca="1" si="2"/>
        <v>247</v>
      </c>
      <c r="I79" t="str">
        <f t="shared" ca="1" si="3"/>
        <v>At Risk</v>
      </c>
    </row>
    <row r="80" spans="1:9" x14ac:dyDescent="0.3">
      <c r="A80" t="s">
        <v>96</v>
      </c>
      <c r="B80" t="s">
        <v>23</v>
      </c>
      <c r="C80" t="s">
        <v>16</v>
      </c>
      <c r="D80">
        <v>73127</v>
      </c>
      <c r="E80" s="2">
        <v>46000</v>
      </c>
      <c r="G80" t="str">
        <v>Gold</v>
      </c>
      <c r="H80" s="4">
        <f t="shared" ca="1" si="2"/>
        <v>254</v>
      </c>
      <c r="I80" t="str">
        <f t="shared" ca="1" si="3"/>
        <v>At Risk</v>
      </c>
    </row>
    <row r="81" spans="1:9" x14ac:dyDescent="0.3">
      <c r="A81" t="s">
        <v>97</v>
      </c>
      <c r="B81" t="s">
        <v>25</v>
      </c>
      <c r="C81" t="s">
        <v>19</v>
      </c>
      <c r="D81">
        <v>11040</v>
      </c>
      <c r="E81" s="2">
        <v>45993</v>
      </c>
      <c r="G81" t="str">
        <v>Bronze</v>
      </c>
      <c r="H81" s="4">
        <f t="shared" ca="1" si="2"/>
        <v>261</v>
      </c>
      <c r="I81" t="str">
        <f t="shared" ca="1" si="3"/>
        <v>At Risk</v>
      </c>
    </row>
    <row r="82" spans="1:9" x14ac:dyDescent="0.3">
      <c r="A82" t="s">
        <v>98</v>
      </c>
      <c r="B82" t="s">
        <v>6</v>
      </c>
      <c r="C82" t="s">
        <v>7</v>
      </c>
      <c r="D82">
        <v>18953</v>
      </c>
      <c r="E82" s="2">
        <v>45986</v>
      </c>
      <c r="G82" t="str">
        <v>Bronze</v>
      </c>
      <c r="H82" s="4">
        <f t="shared" ca="1" si="2"/>
        <v>268</v>
      </c>
      <c r="I82" t="str">
        <f t="shared" ca="1" si="3"/>
        <v>At Risk</v>
      </c>
    </row>
    <row r="83" spans="1:9" x14ac:dyDescent="0.3">
      <c r="A83" t="s">
        <v>99</v>
      </c>
      <c r="B83" t="s">
        <v>9</v>
      </c>
      <c r="C83" t="s">
        <v>10</v>
      </c>
      <c r="D83">
        <v>26866</v>
      </c>
      <c r="E83" s="2">
        <v>45979</v>
      </c>
      <c r="G83" t="str">
        <v>Silver</v>
      </c>
      <c r="H83" s="4">
        <f t="shared" ca="1" si="2"/>
        <v>275</v>
      </c>
      <c r="I83" t="str">
        <f t="shared" ca="1" si="3"/>
        <v>At Risk</v>
      </c>
    </row>
    <row r="84" spans="1:9" x14ac:dyDescent="0.3">
      <c r="A84" t="s">
        <v>100</v>
      </c>
      <c r="B84" t="s">
        <v>12</v>
      </c>
      <c r="C84" t="s">
        <v>13</v>
      </c>
      <c r="D84">
        <v>34779</v>
      </c>
      <c r="E84" s="2">
        <v>45972</v>
      </c>
      <c r="G84" t="str">
        <v>Silver</v>
      </c>
      <c r="H84" s="4">
        <f t="shared" ca="1" si="2"/>
        <v>282</v>
      </c>
      <c r="I84" t="str">
        <f t="shared" ca="1" si="3"/>
        <v>At Risk</v>
      </c>
    </row>
    <row r="85" spans="1:9" x14ac:dyDescent="0.3">
      <c r="A85" t="s">
        <v>101</v>
      </c>
      <c r="B85" t="s">
        <v>15</v>
      </c>
      <c r="C85" t="s">
        <v>16</v>
      </c>
      <c r="D85">
        <v>42692</v>
      </c>
      <c r="E85" s="2">
        <v>45965</v>
      </c>
      <c r="G85" t="str">
        <v>Silver</v>
      </c>
      <c r="H85" s="4">
        <f t="shared" ca="1" si="2"/>
        <v>289</v>
      </c>
      <c r="I85" t="str">
        <f t="shared" ca="1" si="3"/>
        <v>At Risk</v>
      </c>
    </row>
    <row r="86" spans="1:9" x14ac:dyDescent="0.3">
      <c r="A86" t="s">
        <v>102</v>
      </c>
      <c r="B86" t="s">
        <v>18</v>
      </c>
      <c r="C86" t="s">
        <v>19</v>
      </c>
      <c r="D86">
        <v>50605</v>
      </c>
      <c r="E86" s="2">
        <v>45958</v>
      </c>
      <c r="G86" t="str">
        <v>Gold</v>
      </c>
      <c r="H86" s="4">
        <f t="shared" ca="1" si="2"/>
        <v>296</v>
      </c>
      <c r="I86" t="str">
        <f t="shared" ca="1" si="3"/>
        <v>At Risk</v>
      </c>
    </row>
    <row r="87" spans="1:9" x14ac:dyDescent="0.3">
      <c r="A87" t="s">
        <v>103</v>
      </c>
      <c r="B87" t="s">
        <v>21</v>
      </c>
      <c r="C87" t="s">
        <v>7</v>
      </c>
      <c r="D87">
        <v>58518</v>
      </c>
      <c r="E87" s="2">
        <v>46251</v>
      </c>
      <c r="G87" t="str">
        <v>Gold</v>
      </c>
      <c r="H87" s="4">
        <f t="shared" ca="1" si="2"/>
        <v>3</v>
      </c>
      <c r="I87" t="str">
        <f t="shared" ca="1" si="3"/>
        <v>Active</v>
      </c>
    </row>
    <row r="88" spans="1:9" x14ac:dyDescent="0.3">
      <c r="A88" t="s">
        <v>104</v>
      </c>
      <c r="B88" t="s">
        <v>23</v>
      </c>
      <c r="C88" t="s">
        <v>10</v>
      </c>
      <c r="D88">
        <v>66431</v>
      </c>
      <c r="E88" s="2">
        <v>46244</v>
      </c>
      <c r="G88" t="str">
        <v>Gold</v>
      </c>
      <c r="H88" s="4">
        <f t="shared" ca="1" si="2"/>
        <v>10</v>
      </c>
      <c r="I88" t="str">
        <f t="shared" ca="1" si="3"/>
        <v>Active</v>
      </c>
    </row>
    <row r="89" spans="1:9" x14ac:dyDescent="0.3">
      <c r="A89" t="s">
        <v>105</v>
      </c>
      <c r="B89" t="s">
        <v>25</v>
      </c>
      <c r="C89" t="s">
        <v>13</v>
      </c>
      <c r="D89">
        <v>74344</v>
      </c>
      <c r="E89" s="2">
        <v>46237</v>
      </c>
      <c r="G89" t="str">
        <v>Gold</v>
      </c>
      <c r="H89" s="4">
        <f t="shared" ca="1" si="2"/>
        <v>17</v>
      </c>
      <c r="I89" t="str">
        <f t="shared" ca="1" si="3"/>
        <v>Active</v>
      </c>
    </row>
    <row r="90" spans="1:9" x14ac:dyDescent="0.3">
      <c r="A90" t="s">
        <v>106</v>
      </c>
      <c r="B90" t="s">
        <v>6</v>
      </c>
      <c r="C90" t="s">
        <v>16</v>
      </c>
      <c r="D90">
        <v>12257</v>
      </c>
      <c r="E90" s="2">
        <v>46230</v>
      </c>
      <c r="G90" t="str">
        <v>Bronze</v>
      </c>
      <c r="H90" s="4">
        <f t="shared" ca="1" si="2"/>
        <v>24</v>
      </c>
      <c r="I90" t="str">
        <f t="shared" ca="1" si="3"/>
        <v>Active</v>
      </c>
    </row>
    <row r="91" spans="1:9" x14ac:dyDescent="0.3">
      <c r="A91" t="s">
        <v>107</v>
      </c>
      <c r="B91" t="s">
        <v>9</v>
      </c>
      <c r="C91" t="s">
        <v>19</v>
      </c>
      <c r="D91">
        <v>20170</v>
      </c>
      <c r="E91" s="2">
        <v>46223</v>
      </c>
      <c r="G91" t="str">
        <v>Silver</v>
      </c>
      <c r="H91" s="4">
        <f t="shared" ca="1" si="2"/>
        <v>31</v>
      </c>
      <c r="I91" t="str">
        <f t="shared" ca="1" si="3"/>
        <v>Active</v>
      </c>
    </row>
    <row r="92" spans="1:9" x14ac:dyDescent="0.3">
      <c r="A92" t="s">
        <v>108</v>
      </c>
      <c r="B92" t="s">
        <v>12</v>
      </c>
      <c r="C92" t="s">
        <v>7</v>
      </c>
      <c r="D92">
        <v>28083</v>
      </c>
      <c r="E92" s="2">
        <v>46216</v>
      </c>
      <c r="G92" t="str">
        <v>Silver</v>
      </c>
      <c r="H92" s="4">
        <f t="shared" ca="1" si="2"/>
        <v>38</v>
      </c>
      <c r="I92" t="str">
        <f t="shared" ca="1" si="3"/>
        <v>Active</v>
      </c>
    </row>
    <row r="93" spans="1:9" x14ac:dyDescent="0.3">
      <c r="A93" t="s">
        <v>109</v>
      </c>
      <c r="B93" t="s">
        <v>15</v>
      </c>
      <c r="C93" t="s">
        <v>10</v>
      </c>
      <c r="D93">
        <v>35996</v>
      </c>
      <c r="E93" s="2">
        <v>46209</v>
      </c>
      <c r="G93" t="str">
        <v>Silver</v>
      </c>
      <c r="H93" s="4">
        <f t="shared" ca="1" si="2"/>
        <v>45</v>
      </c>
      <c r="I93" t="str">
        <f t="shared" ca="1" si="3"/>
        <v>Active</v>
      </c>
    </row>
    <row r="94" spans="1:9" x14ac:dyDescent="0.3">
      <c r="A94" t="s">
        <v>110</v>
      </c>
      <c r="B94" t="s">
        <v>18</v>
      </c>
      <c r="C94" t="s">
        <v>13</v>
      </c>
      <c r="D94">
        <v>43909</v>
      </c>
      <c r="E94" s="2">
        <v>46202</v>
      </c>
      <c r="G94" t="str">
        <v>Silver</v>
      </c>
      <c r="H94" s="4">
        <f t="shared" ca="1" si="2"/>
        <v>52</v>
      </c>
      <c r="I94" t="str">
        <f t="shared" ca="1" si="3"/>
        <v>Active</v>
      </c>
    </row>
    <row r="95" spans="1:9" x14ac:dyDescent="0.3">
      <c r="A95" t="s">
        <v>111</v>
      </c>
      <c r="B95" t="s">
        <v>21</v>
      </c>
      <c r="C95" t="s">
        <v>16</v>
      </c>
      <c r="D95">
        <v>51822</v>
      </c>
      <c r="E95" s="2">
        <v>46195</v>
      </c>
      <c r="G95" t="str">
        <v>Gold</v>
      </c>
      <c r="H95" s="4">
        <f t="shared" ca="1" si="2"/>
        <v>59</v>
      </c>
      <c r="I95" t="str">
        <f t="shared" ca="1" si="3"/>
        <v>Active</v>
      </c>
    </row>
    <row r="96" spans="1:9" x14ac:dyDescent="0.3">
      <c r="A96" t="s">
        <v>112</v>
      </c>
      <c r="B96" t="s">
        <v>23</v>
      </c>
      <c r="C96" t="s">
        <v>19</v>
      </c>
      <c r="D96">
        <v>59735</v>
      </c>
      <c r="E96" s="2">
        <v>46188</v>
      </c>
      <c r="G96" t="str">
        <v>Gold</v>
      </c>
      <c r="H96" s="4">
        <f t="shared" ca="1" si="2"/>
        <v>66</v>
      </c>
      <c r="I96" t="str">
        <f t="shared" ca="1" si="3"/>
        <v>Active</v>
      </c>
    </row>
    <row r="97" spans="1:9" x14ac:dyDescent="0.3">
      <c r="A97" t="s">
        <v>113</v>
      </c>
      <c r="B97" t="s">
        <v>25</v>
      </c>
      <c r="C97" t="s">
        <v>7</v>
      </c>
      <c r="D97">
        <v>67648</v>
      </c>
      <c r="E97" s="2">
        <v>46181</v>
      </c>
      <c r="G97" t="str">
        <v>Gold</v>
      </c>
      <c r="H97" s="4">
        <f t="shared" ca="1" si="2"/>
        <v>73</v>
      </c>
      <c r="I97" t="str">
        <f t="shared" ca="1" si="3"/>
        <v>Active</v>
      </c>
    </row>
    <row r="98" spans="1:9" x14ac:dyDescent="0.3">
      <c r="A98" t="s">
        <v>114</v>
      </c>
      <c r="B98" t="s">
        <v>6</v>
      </c>
      <c r="C98" t="s">
        <v>10</v>
      </c>
      <c r="D98">
        <v>75561</v>
      </c>
      <c r="E98" s="2">
        <v>46174</v>
      </c>
      <c r="G98" t="str">
        <v>Gold</v>
      </c>
      <c r="H98" s="4">
        <f t="shared" ca="1" si="2"/>
        <v>80</v>
      </c>
      <c r="I98" t="str">
        <f t="shared" ca="1" si="3"/>
        <v>Active</v>
      </c>
    </row>
    <row r="99" spans="1:9" x14ac:dyDescent="0.3">
      <c r="A99" t="s">
        <v>115</v>
      </c>
      <c r="B99" t="s">
        <v>9</v>
      </c>
      <c r="C99" t="s">
        <v>13</v>
      </c>
      <c r="D99">
        <v>13474</v>
      </c>
      <c r="E99" s="2">
        <v>46167</v>
      </c>
      <c r="G99" t="str">
        <v>Bronze</v>
      </c>
      <c r="H99" s="4">
        <f t="shared" ca="1" si="2"/>
        <v>87</v>
      </c>
      <c r="I99" t="str">
        <f t="shared" ca="1" si="3"/>
        <v>Active</v>
      </c>
    </row>
    <row r="100" spans="1:9" x14ac:dyDescent="0.3">
      <c r="A100" t="s">
        <v>116</v>
      </c>
      <c r="B100" t="s">
        <v>12</v>
      </c>
      <c r="C100" t="s">
        <v>16</v>
      </c>
      <c r="D100">
        <v>21387</v>
      </c>
      <c r="E100" s="2">
        <v>46160</v>
      </c>
      <c r="G100" t="str">
        <v>Silver</v>
      </c>
      <c r="H100" s="4">
        <f t="shared" ca="1" si="2"/>
        <v>94</v>
      </c>
      <c r="I100" t="str">
        <f t="shared" ca="1" si="3"/>
        <v>At Risk</v>
      </c>
    </row>
    <row r="101" spans="1:9" x14ac:dyDescent="0.3">
      <c r="A101" t="s">
        <v>117</v>
      </c>
      <c r="B101" t="s">
        <v>15</v>
      </c>
      <c r="C101" t="s">
        <v>19</v>
      </c>
      <c r="D101">
        <v>29300</v>
      </c>
      <c r="E101" s="2">
        <v>46153</v>
      </c>
      <c r="G101" t="str">
        <v>Silver</v>
      </c>
      <c r="H101" s="4">
        <f t="shared" ca="1" si="2"/>
        <v>101</v>
      </c>
      <c r="I101" t="str">
        <f t="shared" ca="1" si="3"/>
        <v>At Risk</v>
      </c>
    </row>
    <row r="102" spans="1:9" x14ac:dyDescent="0.3">
      <c r="A102" t="s">
        <v>118</v>
      </c>
      <c r="B102" t="s">
        <v>18</v>
      </c>
      <c r="C102" t="s">
        <v>7</v>
      </c>
      <c r="D102">
        <v>37213</v>
      </c>
      <c r="E102" s="2">
        <v>46146</v>
      </c>
      <c r="G102" t="str">
        <v>Silver</v>
      </c>
      <c r="H102" s="4">
        <f t="shared" ca="1" si="2"/>
        <v>108</v>
      </c>
      <c r="I102" t="str">
        <f t="shared" ca="1" si="3"/>
        <v>At Risk</v>
      </c>
    </row>
    <row r="103" spans="1:9" x14ac:dyDescent="0.3">
      <c r="A103" t="s">
        <v>119</v>
      </c>
      <c r="B103" t="s">
        <v>21</v>
      </c>
      <c r="C103" t="s">
        <v>10</v>
      </c>
      <c r="D103">
        <v>45126</v>
      </c>
      <c r="E103" s="2">
        <v>46139</v>
      </c>
      <c r="G103" t="str">
        <v>Silver</v>
      </c>
      <c r="H103" s="4">
        <f t="shared" ca="1" si="2"/>
        <v>115</v>
      </c>
      <c r="I103" t="str">
        <f t="shared" ca="1" si="3"/>
        <v>At Risk</v>
      </c>
    </row>
    <row r="104" spans="1:9" x14ac:dyDescent="0.3">
      <c r="A104" t="s">
        <v>120</v>
      </c>
      <c r="B104" t="s">
        <v>23</v>
      </c>
      <c r="C104" t="s">
        <v>13</v>
      </c>
      <c r="D104">
        <v>53039</v>
      </c>
      <c r="E104" s="2">
        <v>46132</v>
      </c>
      <c r="G104" t="str">
        <v>Gold</v>
      </c>
      <c r="H104" s="4">
        <f t="shared" ca="1" si="2"/>
        <v>122</v>
      </c>
      <c r="I104" t="str">
        <f t="shared" ca="1" si="3"/>
        <v>At Risk</v>
      </c>
    </row>
    <row r="105" spans="1:9" x14ac:dyDescent="0.3">
      <c r="A105" t="s">
        <v>121</v>
      </c>
      <c r="B105" t="s">
        <v>25</v>
      </c>
      <c r="C105" t="s">
        <v>16</v>
      </c>
      <c r="D105">
        <v>60952</v>
      </c>
      <c r="E105" s="2">
        <v>46125</v>
      </c>
      <c r="G105" t="str">
        <v>Gold</v>
      </c>
      <c r="H105" s="4">
        <f t="shared" ca="1" si="2"/>
        <v>129</v>
      </c>
      <c r="I105" t="str">
        <f t="shared" ca="1" si="3"/>
        <v>At Risk</v>
      </c>
    </row>
    <row r="106" spans="1:9" x14ac:dyDescent="0.3">
      <c r="A106" t="s">
        <v>122</v>
      </c>
      <c r="B106" t="s">
        <v>6</v>
      </c>
      <c r="C106" t="s">
        <v>19</v>
      </c>
      <c r="D106">
        <v>68865</v>
      </c>
      <c r="E106" s="2">
        <v>46118</v>
      </c>
      <c r="G106" t="str">
        <v>Gold</v>
      </c>
      <c r="H106" s="4">
        <f t="shared" ca="1" si="2"/>
        <v>136</v>
      </c>
      <c r="I106" t="str">
        <f t="shared" ca="1" si="3"/>
        <v>At Risk</v>
      </c>
    </row>
    <row r="107" spans="1:9" x14ac:dyDescent="0.3">
      <c r="A107" t="s">
        <v>123</v>
      </c>
      <c r="B107" t="s">
        <v>9</v>
      </c>
      <c r="C107" t="s">
        <v>7</v>
      </c>
      <c r="D107">
        <v>76778</v>
      </c>
      <c r="E107" s="2">
        <v>46111</v>
      </c>
      <c r="G107" t="str">
        <v>Gold</v>
      </c>
      <c r="H107" s="4">
        <f t="shared" ca="1" si="2"/>
        <v>143</v>
      </c>
      <c r="I107" t="str">
        <f t="shared" ca="1" si="3"/>
        <v>At Risk</v>
      </c>
    </row>
    <row r="108" spans="1:9" x14ac:dyDescent="0.3">
      <c r="A108" t="s">
        <v>124</v>
      </c>
      <c r="B108" t="s">
        <v>12</v>
      </c>
      <c r="C108" t="s">
        <v>10</v>
      </c>
      <c r="D108">
        <v>14691</v>
      </c>
      <c r="E108" s="2">
        <v>46104</v>
      </c>
      <c r="G108" t="str">
        <v>Bronze</v>
      </c>
      <c r="H108" s="4">
        <f t="shared" ca="1" si="2"/>
        <v>150</v>
      </c>
      <c r="I108" t="str">
        <f t="shared" ca="1" si="3"/>
        <v>At Risk</v>
      </c>
    </row>
    <row r="109" spans="1:9" x14ac:dyDescent="0.3">
      <c r="A109" t="s">
        <v>125</v>
      </c>
      <c r="B109" t="s">
        <v>15</v>
      </c>
      <c r="C109" t="s">
        <v>13</v>
      </c>
      <c r="D109">
        <v>22604</v>
      </c>
      <c r="E109" s="2">
        <v>46097</v>
      </c>
      <c r="G109" t="str">
        <v>Silver</v>
      </c>
      <c r="H109" s="4">
        <f t="shared" ca="1" si="2"/>
        <v>157</v>
      </c>
      <c r="I109" t="str">
        <f t="shared" ca="1" si="3"/>
        <v>At Risk</v>
      </c>
    </row>
    <row r="110" spans="1:9" x14ac:dyDescent="0.3">
      <c r="A110" t="s">
        <v>126</v>
      </c>
      <c r="B110" t="s">
        <v>18</v>
      </c>
      <c r="C110" t="s">
        <v>16</v>
      </c>
      <c r="D110">
        <v>30517</v>
      </c>
      <c r="E110" s="2">
        <v>46090</v>
      </c>
      <c r="G110" t="str">
        <v>Silver</v>
      </c>
      <c r="H110" s="4">
        <f t="shared" ca="1" si="2"/>
        <v>164</v>
      </c>
      <c r="I110" t="str">
        <f t="shared" ca="1" si="3"/>
        <v>At Risk</v>
      </c>
    </row>
    <row r="111" spans="1:9" x14ac:dyDescent="0.3">
      <c r="A111" t="s">
        <v>127</v>
      </c>
      <c r="B111" t="s">
        <v>21</v>
      </c>
      <c r="C111" t="s">
        <v>19</v>
      </c>
      <c r="D111">
        <v>38430</v>
      </c>
      <c r="E111" s="2">
        <v>46083</v>
      </c>
      <c r="G111" t="str">
        <v>Silver</v>
      </c>
      <c r="H111" s="4">
        <f t="shared" ca="1" si="2"/>
        <v>171</v>
      </c>
      <c r="I111" t="str">
        <f t="shared" ca="1" si="3"/>
        <v>At Risk</v>
      </c>
    </row>
    <row r="112" spans="1:9" x14ac:dyDescent="0.3">
      <c r="A112" t="s">
        <v>128</v>
      </c>
      <c r="B112" t="s">
        <v>23</v>
      </c>
      <c r="C112" t="s">
        <v>7</v>
      </c>
      <c r="D112">
        <v>46343</v>
      </c>
      <c r="E112" s="2">
        <v>46076</v>
      </c>
      <c r="G112" t="str">
        <v>Silver</v>
      </c>
      <c r="H112" s="4">
        <f t="shared" ca="1" si="2"/>
        <v>178</v>
      </c>
      <c r="I112" t="str">
        <f t="shared" ca="1" si="3"/>
        <v>At Risk</v>
      </c>
    </row>
    <row r="113" spans="1:9" x14ac:dyDescent="0.3">
      <c r="A113" t="s">
        <v>129</v>
      </c>
      <c r="B113" t="s">
        <v>25</v>
      </c>
      <c r="C113" t="s">
        <v>10</v>
      </c>
      <c r="D113">
        <v>54256</v>
      </c>
      <c r="E113" s="2">
        <v>46069</v>
      </c>
      <c r="G113" t="str">
        <v>Gold</v>
      </c>
      <c r="H113" s="4">
        <f t="shared" ca="1" si="2"/>
        <v>185</v>
      </c>
      <c r="I113" t="str">
        <f t="shared" ca="1" si="3"/>
        <v>At Risk</v>
      </c>
    </row>
    <row r="114" spans="1:9" x14ac:dyDescent="0.3">
      <c r="A114" t="s">
        <v>130</v>
      </c>
      <c r="B114" t="s">
        <v>6</v>
      </c>
      <c r="C114" t="s">
        <v>13</v>
      </c>
      <c r="D114">
        <v>62169</v>
      </c>
      <c r="E114" s="2">
        <v>46062</v>
      </c>
      <c r="G114" t="str">
        <v>Gold</v>
      </c>
      <c r="H114" s="4">
        <f t="shared" ca="1" si="2"/>
        <v>192</v>
      </c>
      <c r="I114" t="str">
        <f t="shared" ca="1" si="3"/>
        <v>At Risk</v>
      </c>
    </row>
    <row r="115" spans="1:9" x14ac:dyDescent="0.3">
      <c r="A115" t="s">
        <v>131</v>
      </c>
      <c r="B115" t="s">
        <v>9</v>
      </c>
      <c r="C115" t="s">
        <v>16</v>
      </c>
      <c r="D115">
        <v>70082</v>
      </c>
      <c r="E115" s="2">
        <v>46055</v>
      </c>
      <c r="G115" t="str">
        <v>Gold</v>
      </c>
      <c r="H115" s="4">
        <f t="shared" ca="1" si="2"/>
        <v>199</v>
      </c>
      <c r="I115" t="str">
        <f t="shared" ca="1" si="3"/>
        <v>At Risk</v>
      </c>
    </row>
    <row r="116" spans="1:9" x14ac:dyDescent="0.3">
      <c r="A116" t="s">
        <v>132</v>
      </c>
      <c r="B116" t="s">
        <v>12</v>
      </c>
      <c r="C116" t="s">
        <v>19</v>
      </c>
      <c r="D116">
        <v>77995</v>
      </c>
      <c r="E116" s="2">
        <v>46048</v>
      </c>
      <c r="G116" t="str">
        <v>Gold</v>
      </c>
      <c r="H116" s="4">
        <f t="shared" ca="1" si="2"/>
        <v>206</v>
      </c>
      <c r="I116" t="str">
        <f t="shared" ca="1" si="3"/>
        <v>At Risk</v>
      </c>
    </row>
    <row r="117" spans="1:9" x14ac:dyDescent="0.3">
      <c r="A117" t="s">
        <v>133</v>
      </c>
      <c r="B117" t="s">
        <v>15</v>
      </c>
      <c r="C117" t="s">
        <v>7</v>
      </c>
      <c r="D117">
        <v>15908</v>
      </c>
      <c r="E117" s="2">
        <v>46041</v>
      </c>
      <c r="G117" t="str">
        <v>Bronze</v>
      </c>
      <c r="H117" s="4">
        <f t="shared" ca="1" si="2"/>
        <v>213</v>
      </c>
      <c r="I117" t="str">
        <f t="shared" ca="1" si="3"/>
        <v>At Risk</v>
      </c>
    </row>
    <row r="118" spans="1:9" x14ac:dyDescent="0.3">
      <c r="A118" t="s">
        <v>134</v>
      </c>
      <c r="B118" t="s">
        <v>18</v>
      </c>
      <c r="C118" t="s">
        <v>10</v>
      </c>
      <c r="D118">
        <v>23821</v>
      </c>
      <c r="E118" s="2">
        <v>46034</v>
      </c>
      <c r="G118" t="str">
        <v>Silver</v>
      </c>
      <c r="H118" s="4">
        <f t="shared" ca="1" si="2"/>
        <v>220</v>
      </c>
      <c r="I118" t="str">
        <f t="shared" ca="1" si="3"/>
        <v>At Risk</v>
      </c>
    </row>
    <row r="119" spans="1:9" x14ac:dyDescent="0.3">
      <c r="A119" t="s">
        <v>135</v>
      </c>
      <c r="B119" t="s">
        <v>21</v>
      </c>
      <c r="C119" t="s">
        <v>13</v>
      </c>
      <c r="D119">
        <v>31734</v>
      </c>
      <c r="E119" s="2">
        <v>46027</v>
      </c>
      <c r="G119" t="str">
        <v>Silver</v>
      </c>
      <c r="H119" s="4">
        <f t="shared" ca="1" si="2"/>
        <v>227</v>
      </c>
      <c r="I119" t="str">
        <f t="shared" ca="1" si="3"/>
        <v>At Risk</v>
      </c>
    </row>
    <row r="120" spans="1:9" x14ac:dyDescent="0.3">
      <c r="A120" t="s">
        <v>136</v>
      </c>
      <c r="B120" t="s">
        <v>23</v>
      </c>
      <c r="C120" t="s">
        <v>16</v>
      </c>
      <c r="D120">
        <v>39647</v>
      </c>
      <c r="E120" s="2">
        <v>46020</v>
      </c>
      <c r="G120" t="str">
        <v>Silver</v>
      </c>
      <c r="H120" s="4">
        <f t="shared" ca="1" si="2"/>
        <v>234</v>
      </c>
      <c r="I120" t="str">
        <f t="shared" ca="1" si="3"/>
        <v>At Risk</v>
      </c>
    </row>
    <row r="121" spans="1:9" x14ac:dyDescent="0.3">
      <c r="A121" t="s">
        <v>137</v>
      </c>
      <c r="B121" t="s">
        <v>25</v>
      </c>
      <c r="C121" t="s">
        <v>19</v>
      </c>
      <c r="D121">
        <v>47560</v>
      </c>
      <c r="E121" s="2">
        <v>46013</v>
      </c>
      <c r="G121" t="str">
        <v>Silver</v>
      </c>
      <c r="H121" s="4">
        <f t="shared" ca="1" si="2"/>
        <v>241</v>
      </c>
      <c r="I121" t="str">
        <f t="shared" ca="1" si="3"/>
        <v>At Risk</v>
      </c>
    </row>
    <row r="122" spans="1:9" x14ac:dyDescent="0.3">
      <c r="A122" t="s">
        <v>138</v>
      </c>
      <c r="B122" t="s">
        <v>6</v>
      </c>
      <c r="C122" t="s">
        <v>7</v>
      </c>
      <c r="D122">
        <v>55473</v>
      </c>
      <c r="E122" s="2">
        <v>46006</v>
      </c>
      <c r="G122" t="str">
        <v>Gold</v>
      </c>
      <c r="H122" s="4">
        <f t="shared" ca="1" si="2"/>
        <v>248</v>
      </c>
      <c r="I122" t="str">
        <f t="shared" ca="1" si="3"/>
        <v>At Risk</v>
      </c>
    </row>
    <row r="123" spans="1:9" x14ac:dyDescent="0.3">
      <c r="A123" t="s">
        <v>139</v>
      </c>
      <c r="B123" t="s">
        <v>9</v>
      </c>
      <c r="C123" t="s">
        <v>10</v>
      </c>
      <c r="D123">
        <v>63386</v>
      </c>
      <c r="E123" s="2">
        <v>45999</v>
      </c>
      <c r="G123" t="str">
        <v>Gold</v>
      </c>
      <c r="H123" s="4">
        <f t="shared" ca="1" si="2"/>
        <v>255</v>
      </c>
      <c r="I123" t="str">
        <f t="shared" ca="1" si="3"/>
        <v>At Risk</v>
      </c>
    </row>
    <row r="124" spans="1:9" x14ac:dyDescent="0.3">
      <c r="A124" t="s">
        <v>140</v>
      </c>
      <c r="B124" t="s">
        <v>12</v>
      </c>
      <c r="C124" t="s">
        <v>13</v>
      </c>
      <c r="D124">
        <v>71299</v>
      </c>
      <c r="E124" s="2">
        <v>45992</v>
      </c>
      <c r="G124" t="str">
        <v>Gold</v>
      </c>
      <c r="H124" s="4">
        <f t="shared" ca="1" si="2"/>
        <v>262</v>
      </c>
      <c r="I124" t="str">
        <f t="shared" ca="1" si="3"/>
        <v>At Risk</v>
      </c>
    </row>
    <row r="125" spans="1:9" x14ac:dyDescent="0.3">
      <c r="A125" t="s">
        <v>141</v>
      </c>
      <c r="B125" t="s">
        <v>15</v>
      </c>
      <c r="C125" t="s">
        <v>16</v>
      </c>
      <c r="D125">
        <v>9212</v>
      </c>
      <c r="E125" s="2">
        <v>45985</v>
      </c>
      <c r="G125" t="str">
        <v>Bronze</v>
      </c>
      <c r="H125" s="4">
        <f t="shared" ca="1" si="2"/>
        <v>269</v>
      </c>
      <c r="I125" t="str">
        <f t="shared" ca="1" si="3"/>
        <v>At Risk</v>
      </c>
    </row>
    <row r="126" spans="1:9" x14ac:dyDescent="0.3">
      <c r="A126" t="s">
        <v>142</v>
      </c>
      <c r="B126" t="s">
        <v>18</v>
      </c>
      <c r="C126" t="s">
        <v>19</v>
      </c>
      <c r="D126">
        <v>17125</v>
      </c>
      <c r="E126" s="2">
        <v>45978</v>
      </c>
      <c r="G126" t="str">
        <v>Bronze</v>
      </c>
      <c r="H126" s="4">
        <f t="shared" ca="1" si="2"/>
        <v>276</v>
      </c>
      <c r="I126" t="str">
        <f t="shared" ca="1" si="3"/>
        <v>At Risk</v>
      </c>
    </row>
    <row r="127" spans="1:9" x14ac:dyDescent="0.3">
      <c r="A127" t="s">
        <v>143</v>
      </c>
      <c r="B127" t="s">
        <v>21</v>
      </c>
      <c r="C127" t="s">
        <v>7</v>
      </c>
      <c r="D127">
        <v>25038</v>
      </c>
      <c r="E127" s="2">
        <v>45971</v>
      </c>
      <c r="G127" t="str">
        <v>Silver</v>
      </c>
      <c r="H127" s="4">
        <f t="shared" ca="1" si="2"/>
        <v>283</v>
      </c>
      <c r="I127" t="str">
        <f t="shared" ca="1" si="3"/>
        <v>At Risk</v>
      </c>
    </row>
    <row r="128" spans="1:9" x14ac:dyDescent="0.3">
      <c r="A128" t="s">
        <v>144</v>
      </c>
      <c r="B128" t="s">
        <v>23</v>
      </c>
      <c r="C128" t="s">
        <v>10</v>
      </c>
      <c r="D128">
        <v>32951</v>
      </c>
      <c r="E128" s="2">
        <v>45964</v>
      </c>
      <c r="G128" t="str">
        <v>Silver</v>
      </c>
      <c r="H128" s="4">
        <f t="shared" ca="1" si="2"/>
        <v>290</v>
      </c>
      <c r="I128" t="str">
        <f t="shared" ca="1" si="3"/>
        <v>At Risk</v>
      </c>
    </row>
    <row r="129" spans="1:9" x14ac:dyDescent="0.3">
      <c r="A129" t="s">
        <v>145</v>
      </c>
      <c r="B129" t="s">
        <v>25</v>
      </c>
      <c r="C129" t="s">
        <v>13</v>
      </c>
      <c r="D129">
        <v>40864</v>
      </c>
      <c r="E129" s="2">
        <v>45957</v>
      </c>
      <c r="G129" t="str">
        <v>Silver</v>
      </c>
      <c r="H129" s="4">
        <f t="shared" ca="1" si="2"/>
        <v>297</v>
      </c>
      <c r="I129" t="str">
        <f t="shared" ca="1" si="3"/>
        <v>At Risk</v>
      </c>
    </row>
    <row r="130" spans="1:9" x14ac:dyDescent="0.3">
      <c r="A130" t="s">
        <v>146</v>
      </c>
      <c r="B130" t="s">
        <v>6</v>
      </c>
      <c r="C130" t="s">
        <v>16</v>
      </c>
      <c r="D130">
        <v>48777</v>
      </c>
      <c r="E130" s="2">
        <v>46250</v>
      </c>
      <c r="G130" t="str">
        <v>Silver</v>
      </c>
      <c r="H130" s="4">
        <f t="shared" ca="1" si="2"/>
        <v>4</v>
      </c>
      <c r="I130" t="str">
        <f t="shared" ca="1" si="3"/>
        <v>Active</v>
      </c>
    </row>
    <row r="131" spans="1:9" x14ac:dyDescent="0.3">
      <c r="A131" t="s">
        <v>147</v>
      </c>
      <c r="B131" t="s">
        <v>9</v>
      </c>
      <c r="C131" t="s">
        <v>19</v>
      </c>
      <c r="D131">
        <v>56690</v>
      </c>
      <c r="E131" s="2">
        <v>46243</v>
      </c>
      <c r="G131" t="str">
        <v>Gold</v>
      </c>
      <c r="H131" s="4">
        <f t="shared" ref="H131:H194" ca="1" si="4">TODAY() - E131</f>
        <v>11</v>
      </c>
      <c r="I131" t="str">
        <f t="shared" ref="I131:I194" ca="1" si="5">IF(H131 &gt;= 90,"At Risk", "Active")</f>
        <v>Active</v>
      </c>
    </row>
    <row r="132" spans="1:9" x14ac:dyDescent="0.3">
      <c r="A132" t="s">
        <v>148</v>
      </c>
      <c r="B132" t="s">
        <v>12</v>
      </c>
      <c r="C132" t="s">
        <v>7</v>
      </c>
      <c r="D132">
        <v>64603</v>
      </c>
      <c r="E132" s="2">
        <v>46236</v>
      </c>
      <c r="G132" t="str">
        <v>Gold</v>
      </c>
      <c r="H132" s="4">
        <f t="shared" ca="1" si="4"/>
        <v>18</v>
      </c>
      <c r="I132" t="str">
        <f t="shared" ca="1" si="5"/>
        <v>Active</v>
      </c>
    </row>
    <row r="133" spans="1:9" x14ac:dyDescent="0.3">
      <c r="A133" t="s">
        <v>149</v>
      </c>
      <c r="B133" t="s">
        <v>15</v>
      </c>
      <c r="C133" t="s">
        <v>10</v>
      </c>
      <c r="D133">
        <v>72516</v>
      </c>
      <c r="E133" s="2">
        <v>46229</v>
      </c>
      <c r="G133" t="str">
        <v>Gold</v>
      </c>
      <c r="H133" s="4">
        <f t="shared" ca="1" si="4"/>
        <v>25</v>
      </c>
      <c r="I133" t="str">
        <f t="shared" ca="1" si="5"/>
        <v>Active</v>
      </c>
    </row>
    <row r="134" spans="1:9" x14ac:dyDescent="0.3">
      <c r="A134" t="s">
        <v>150</v>
      </c>
      <c r="B134" t="s">
        <v>18</v>
      </c>
      <c r="C134" t="s">
        <v>13</v>
      </c>
      <c r="D134">
        <v>10429</v>
      </c>
      <c r="E134" s="2">
        <v>46222</v>
      </c>
      <c r="G134" t="str">
        <v>Bronze</v>
      </c>
      <c r="H134" s="4">
        <f t="shared" ca="1" si="4"/>
        <v>32</v>
      </c>
      <c r="I134" t="str">
        <f t="shared" ca="1" si="5"/>
        <v>Active</v>
      </c>
    </row>
    <row r="135" spans="1:9" x14ac:dyDescent="0.3">
      <c r="A135" t="s">
        <v>151</v>
      </c>
      <c r="B135" t="s">
        <v>21</v>
      </c>
      <c r="C135" t="s">
        <v>16</v>
      </c>
      <c r="D135">
        <v>18342</v>
      </c>
      <c r="E135" s="2">
        <v>46215</v>
      </c>
      <c r="G135" t="str">
        <v>Bronze</v>
      </c>
      <c r="H135" s="4">
        <f t="shared" ca="1" si="4"/>
        <v>39</v>
      </c>
      <c r="I135" t="str">
        <f t="shared" ca="1" si="5"/>
        <v>Active</v>
      </c>
    </row>
    <row r="136" spans="1:9" x14ac:dyDescent="0.3">
      <c r="A136" t="s">
        <v>152</v>
      </c>
      <c r="B136" t="s">
        <v>23</v>
      </c>
      <c r="C136" t="s">
        <v>19</v>
      </c>
      <c r="D136">
        <v>26255</v>
      </c>
      <c r="E136" s="2">
        <v>46208</v>
      </c>
      <c r="G136" t="str">
        <v>Silver</v>
      </c>
      <c r="H136" s="4">
        <f t="shared" ca="1" si="4"/>
        <v>46</v>
      </c>
      <c r="I136" t="str">
        <f t="shared" ca="1" si="5"/>
        <v>Active</v>
      </c>
    </row>
    <row r="137" spans="1:9" x14ac:dyDescent="0.3">
      <c r="A137" t="s">
        <v>153</v>
      </c>
      <c r="B137" t="s">
        <v>25</v>
      </c>
      <c r="C137" t="s">
        <v>7</v>
      </c>
      <c r="D137">
        <v>34168</v>
      </c>
      <c r="E137" s="2">
        <v>46201</v>
      </c>
      <c r="G137" t="str">
        <v>Silver</v>
      </c>
      <c r="H137" s="4">
        <f t="shared" ca="1" si="4"/>
        <v>53</v>
      </c>
      <c r="I137" t="str">
        <f t="shared" ca="1" si="5"/>
        <v>Active</v>
      </c>
    </row>
    <row r="138" spans="1:9" x14ac:dyDescent="0.3">
      <c r="A138" t="s">
        <v>154</v>
      </c>
      <c r="B138" t="s">
        <v>6</v>
      </c>
      <c r="C138" t="s">
        <v>10</v>
      </c>
      <c r="D138">
        <v>42081</v>
      </c>
      <c r="E138" s="2">
        <v>46194</v>
      </c>
      <c r="G138" t="str">
        <v>Silver</v>
      </c>
      <c r="H138" s="4">
        <f t="shared" ca="1" si="4"/>
        <v>60</v>
      </c>
      <c r="I138" t="str">
        <f t="shared" ca="1" si="5"/>
        <v>Active</v>
      </c>
    </row>
    <row r="139" spans="1:9" x14ac:dyDescent="0.3">
      <c r="A139" t="s">
        <v>155</v>
      </c>
      <c r="B139" t="s">
        <v>9</v>
      </c>
      <c r="C139" t="s">
        <v>13</v>
      </c>
      <c r="D139">
        <v>49994</v>
      </c>
      <c r="E139" s="2">
        <v>46187</v>
      </c>
      <c r="G139" t="str">
        <v>Silver</v>
      </c>
      <c r="H139" s="4">
        <f t="shared" ca="1" si="4"/>
        <v>67</v>
      </c>
      <c r="I139" t="str">
        <f t="shared" ca="1" si="5"/>
        <v>Active</v>
      </c>
    </row>
    <row r="140" spans="1:9" x14ac:dyDescent="0.3">
      <c r="A140" t="s">
        <v>156</v>
      </c>
      <c r="B140" t="s">
        <v>12</v>
      </c>
      <c r="C140" t="s">
        <v>16</v>
      </c>
      <c r="D140">
        <v>57907</v>
      </c>
      <c r="E140" s="2">
        <v>46180</v>
      </c>
      <c r="G140" t="str">
        <v>Gold</v>
      </c>
      <c r="H140" s="4">
        <f t="shared" ca="1" si="4"/>
        <v>74</v>
      </c>
      <c r="I140" t="str">
        <f t="shared" ca="1" si="5"/>
        <v>Active</v>
      </c>
    </row>
    <row r="141" spans="1:9" x14ac:dyDescent="0.3">
      <c r="A141" t="s">
        <v>157</v>
      </c>
      <c r="B141" t="s">
        <v>15</v>
      </c>
      <c r="C141" t="s">
        <v>19</v>
      </c>
      <c r="D141">
        <v>65820</v>
      </c>
      <c r="E141" s="2">
        <v>46173</v>
      </c>
      <c r="G141" t="str">
        <v>Gold</v>
      </c>
      <c r="H141" s="4">
        <f t="shared" ca="1" si="4"/>
        <v>81</v>
      </c>
      <c r="I141" t="str">
        <f t="shared" ca="1" si="5"/>
        <v>Active</v>
      </c>
    </row>
    <row r="142" spans="1:9" x14ac:dyDescent="0.3">
      <c r="A142" t="s">
        <v>158</v>
      </c>
      <c r="B142" t="s">
        <v>18</v>
      </c>
      <c r="C142" t="s">
        <v>7</v>
      </c>
      <c r="D142">
        <v>73733</v>
      </c>
      <c r="E142" s="2">
        <v>46166</v>
      </c>
      <c r="G142" t="str">
        <v>Gold</v>
      </c>
      <c r="H142" s="4">
        <f t="shared" ca="1" si="4"/>
        <v>88</v>
      </c>
      <c r="I142" t="str">
        <f t="shared" ca="1" si="5"/>
        <v>Active</v>
      </c>
    </row>
    <row r="143" spans="1:9" x14ac:dyDescent="0.3">
      <c r="A143" t="s">
        <v>159</v>
      </c>
      <c r="B143" t="s">
        <v>21</v>
      </c>
      <c r="C143" t="s">
        <v>10</v>
      </c>
      <c r="D143">
        <v>11646</v>
      </c>
      <c r="E143" s="2">
        <v>46159</v>
      </c>
      <c r="G143" t="str">
        <v>Bronze</v>
      </c>
      <c r="H143" s="4">
        <f t="shared" ca="1" si="4"/>
        <v>95</v>
      </c>
      <c r="I143" t="str">
        <f t="shared" ca="1" si="5"/>
        <v>At Risk</v>
      </c>
    </row>
    <row r="144" spans="1:9" x14ac:dyDescent="0.3">
      <c r="A144" t="s">
        <v>160</v>
      </c>
      <c r="B144" t="s">
        <v>23</v>
      </c>
      <c r="C144" t="s">
        <v>13</v>
      </c>
      <c r="D144">
        <v>19559</v>
      </c>
      <c r="E144" s="2">
        <v>46152</v>
      </c>
      <c r="G144" t="str">
        <v>Bronze</v>
      </c>
      <c r="H144" s="4">
        <f t="shared" ca="1" si="4"/>
        <v>102</v>
      </c>
      <c r="I144" t="str">
        <f t="shared" ca="1" si="5"/>
        <v>At Risk</v>
      </c>
    </row>
    <row r="145" spans="1:9" x14ac:dyDescent="0.3">
      <c r="A145" t="s">
        <v>161</v>
      </c>
      <c r="B145" t="s">
        <v>25</v>
      </c>
      <c r="C145" t="s">
        <v>16</v>
      </c>
      <c r="D145">
        <v>27472</v>
      </c>
      <c r="E145" s="2">
        <v>46145</v>
      </c>
      <c r="G145" t="str">
        <v>Silver</v>
      </c>
      <c r="H145" s="4">
        <f t="shared" ca="1" si="4"/>
        <v>109</v>
      </c>
      <c r="I145" t="str">
        <f t="shared" ca="1" si="5"/>
        <v>At Risk</v>
      </c>
    </row>
    <row r="146" spans="1:9" x14ac:dyDescent="0.3">
      <c r="A146" t="s">
        <v>162</v>
      </c>
      <c r="B146" t="s">
        <v>6</v>
      </c>
      <c r="C146" t="s">
        <v>19</v>
      </c>
      <c r="D146">
        <v>35385</v>
      </c>
      <c r="E146" s="2">
        <v>46138</v>
      </c>
      <c r="G146" t="str">
        <v>Silver</v>
      </c>
      <c r="H146" s="4">
        <f t="shared" ca="1" si="4"/>
        <v>116</v>
      </c>
      <c r="I146" t="str">
        <f t="shared" ca="1" si="5"/>
        <v>At Risk</v>
      </c>
    </row>
    <row r="147" spans="1:9" x14ac:dyDescent="0.3">
      <c r="A147" t="s">
        <v>163</v>
      </c>
      <c r="B147" t="s">
        <v>9</v>
      </c>
      <c r="C147" t="s">
        <v>7</v>
      </c>
      <c r="D147">
        <v>43298</v>
      </c>
      <c r="E147" s="2">
        <v>46131</v>
      </c>
      <c r="G147" t="str">
        <v>Silver</v>
      </c>
      <c r="H147" s="4">
        <f t="shared" ca="1" si="4"/>
        <v>123</v>
      </c>
      <c r="I147" t="str">
        <f t="shared" ca="1" si="5"/>
        <v>At Risk</v>
      </c>
    </row>
    <row r="148" spans="1:9" x14ac:dyDescent="0.3">
      <c r="A148" t="s">
        <v>164</v>
      </c>
      <c r="B148" t="s">
        <v>12</v>
      </c>
      <c r="C148" t="s">
        <v>10</v>
      </c>
      <c r="D148">
        <v>51211</v>
      </c>
      <c r="E148" s="2">
        <v>46124</v>
      </c>
      <c r="G148" t="str">
        <v>Gold</v>
      </c>
      <c r="H148" s="4">
        <f t="shared" ca="1" si="4"/>
        <v>130</v>
      </c>
      <c r="I148" t="str">
        <f t="shared" ca="1" si="5"/>
        <v>At Risk</v>
      </c>
    </row>
    <row r="149" spans="1:9" x14ac:dyDescent="0.3">
      <c r="A149" t="s">
        <v>165</v>
      </c>
      <c r="B149" t="s">
        <v>15</v>
      </c>
      <c r="C149" t="s">
        <v>13</v>
      </c>
      <c r="D149">
        <v>59124</v>
      </c>
      <c r="E149" s="2">
        <v>46117</v>
      </c>
      <c r="G149" t="str">
        <v>Gold</v>
      </c>
      <c r="H149" s="4">
        <f t="shared" ca="1" si="4"/>
        <v>137</v>
      </c>
      <c r="I149" t="str">
        <f t="shared" ca="1" si="5"/>
        <v>At Risk</v>
      </c>
    </row>
    <row r="150" spans="1:9" x14ac:dyDescent="0.3">
      <c r="A150" t="s">
        <v>166</v>
      </c>
      <c r="B150" t="s">
        <v>18</v>
      </c>
      <c r="C150" t="s">
        <v>16</v>
      </c>
      <c r="D150">
        <v>67037</v>
      </c>
      <c r="E150" s="2">
        <v>46110</v>
      </c>
      <c r="G150" t="str">
        <v>Gold</v>
      </c>
      <c r="H150" s="4">
        <f t="shared" ca="1" si="4"/>
        <v>144</v>
      </c>
      <c r="I150" t="str">
        <f t="shared" ca="1" si="5"/>
        <v>At Risk</v>
      </c>
    </row>
    <row r="151" spans="1:9" x14ac:dyDescent="0.3">
      <c r="A151" t="s">
        <v>167</v>
      </c>
      <c r="B151" t="s">
        <v>21</v>
      </c>
      <c r="C151" t="s">
        <v>19</v>
      </c>
      <c r="D151">
        <v>74950</v>
      </c>
      <c r="E151" s="2">
        <v>46103</v>
      </c>
      <c r="G151" t="str">
        <v>Gold</v>
      </c>
      <c r="H151" s="4">
        <f t="shared" ca="1" si="4"/>
        <v>151</v>
      </c>
      <c r="I151" t="str">
        <f t="shared" ca="1" si="5"/>
        <v>At Risk</v>
      </c>
    </row>
    <row r="152" spans="1:9" x14ac:dyDescent="0.3">
      <c r="A152" t="s">
        <v>168</v>
      </c>
      <c r="B152" t="s">
        <v>23</v>
      </c>
      <c r="C152" t="s">
        <v>7</v>
      </c>
      <c r="D152">
        <v>12863</v>
      </c>
      <c r="E152" s="2">
        <v>46096</v>
      </c>
      <c r="G152" t="str">
        <v>Bronze</v>
      </c>
      <c r="H152" s="4">
        <f t="shared" ca="1" si="4"/>
        <v>158</v>
      </c>
      <c r="I152" t="str">
        <f t="shared" ca="1" si="5"/>
        <v>At Risk</v>
      </c>
    </row>
    <row r="153" spans="1:9" x14ac:dyDescent="0.3">
      <c r="A153" t="s">
        <v>169</v>
      </c>
      <c r="B153" t="s">
        <v>25</v>
      </c>
      <c r="C153" t="s">
        <v>10</v>
      </c>
      <c r="D153">
        <v>20776</v>
      </c>
      <c r="E153" s="2">
        <v>46089</v>
      </c>
      <c r="G153" t="str">
        <v>Silver</v>
      </c>
      <c r="H153" s="4">
        <f t="shared" ca="1" si="4"/>
        <v>165</v>
      </c>
      <c r="I153" t="str">
        <f t="shared" ca="1" si="5"/>
        <v>At Risk</v>
      </c>
    </row>
    <row r="154" spans="1:9" x14ac:dyDescent="0.3">
      <c r="A154" t="s">
        <v>170</v>
      </c>
      <c r="B154" t="s">
        <v>6</v>
      </c>
      <c r="C154" t="s">
        <v>13</v>
      </c>
      <c r="D154">
        <v>28689</v>
      </c>
      <c r="E154" s="2">
        <v>46082</v>
      </c>
      <c r="G154" t="str">
        <v>Silver</v>
      </c>
      <c r="H154" s="4">
        <f t="shared" ca="1" si="4"/>
        <v>172</v>
      </c>
      <c r="I154" t="str">
        <f t="shared" ca="1" si="5"/>
        <v>At Risk</v>
      </c>
    </row>
    <row r="155" spans="1:9" x14ac:dyDescent="0.3">
      <c r="A155" t="s">
        <v>171</v>
      </c>
      <c r="B155" t="s">
        <v>9</v>
      </c>
      <c r="C155" t="s">
        <v>16</v>
      </c>
      <c r="D155">
        <v>36602</v>
      </c>
      <c r="E155" s="2">
        <v>46075</v>
      </c>
      <c r="G155" t="str">
        <v>Silver</v>
      </c>
      <c r="H155" s="4">
        <f t="shared" ca="1" si="4"/>
        <v>179</v>
      </c>
      <c r="I155" t="str">
        <f t="shared" ca="1" si="5"/>
        <v>At Risk</v>
      </c>
    </row>
    <row r="156" spans="1:9" x14ac:dyDescent="0.3">
      <c r="A156" t="s">
        <v>172</v>
      </c>
      <c r="B156" t="s">
        <v>12</v>
      </c>
      <c r="C156" t="s">
        <v>19</v>
      </c>
      <c r="D156">
        <v>44515</v>
      </c>
      <c r="E156" s="2">
        <v>46068</v>
      </c>
      <c r="G156" t="str">
        <v>Silver</v>
      </c>
      <c r="H156" s="4">
        <f t="shared" ca="1" si="4"/>
        <v>186</v>
      </c>
      <c r="I156" t="str">
        <f t="shared" ca="1" si="5"/>
        <v>At Risk</v>
      </c>
    </row>
    <row r="157" spans="1:9" x14ac:dyDescent="0.3">
      <c r="A157" t="s">
        <v>173</v>
      </c>
      <c r="B157" t="s">
        <v>15</v>
      </c>
      <c r="C157" t="s">
        <v>7</v>
      </c>
      <c r="D157">
        <v>52428</v>
      </c>
      <c r="E157" s="2">
        <v>46061</v>
      </c>
      <c r="G157" t="str">
        <v>Gold</v>
      </c>
      <c r="H157" s="4">
        <f t="shared" ca="1" si="4"/>
        <v>193</v>
      </c>
      <c r="I157" t="str">
        <f t="shared" ca="1" si="5"/>
        <v>At Risk</v>
      </c>
    </row>
    <row r="158" spans="1:9" x14ac:dyDescent="0.3">
      <c r="A158" t="s">
        <v>174</v>
      </c>
      <c r="B158" t="s">
        <v>18</v>
      </c>
      <c r="C158" t="s">
        <v>10</v>
      </c>
      <c r="D158">
        <v>60341</v>
      </c>
      <c r="E158" s="2">
        <v>46054</v>
      </c>
      <c r="G158" t="str">
        <v>Gold</v>
      </c>
      <c r="H158" s="4">
        <f t="shared" ca="1" si="4"/>
        <v>200</v>
      </c>
      <c r="I158" t="str">
        <f t="shared" ca="1" si="5"/>
        <v>At Risk</v>
      </c>
    </row>
    <row r="159" spans="1:9" x14ac:dyDescent="0.3">
      <c r="A159" t="s">
        <v>175</v>
      </c>
      <c r="B159" t="s">
        <v>21</v>
      </c>
      <c r="C159" t="s">
        <v>13</v>
      </c>
      <c r="D159">
        <v>68254</v>
      </c>
      <c r="E159" s="2">
        <v>46047</v>
      </c>
      <c r="G159" t="str">
        <v>Gold</v>
      </c>
      <c r="H159" s="4">
        <f t="shared" ca="1" si="4"/>
        <v>207</v>
      </c>
      <c r="I159" t="str">
        <f t="shared" ca="1" si="5"/>
        <v>At Risk</v>
      </c>
    </row>
    <row r="160" spans="1:9" x14ac:dyDescent="0.3">
      <c r="A160" t="s">
        <v>176</v>
      </c>
      <c r="B160" t="s">
        <v>23</v>
      </c>
      <c r="C160" t="s">
        <v>16</v>
      </c>
      <c r="D160">
        <v>76167</v>
      </c>
      <c r="E160" s="2">
        <v>46040</v>
      </c>
      <c r="G160" t="str">
        <v>Gold</v>
      </c>
      <c r="H160" s="4">
        <f t="shared" ca="1" si="4"/>
        <v>214</v>
      </c>
      <c r="I160" t="str">
        <f t="shared" ca="1" si="5"/>
        <v>At Risk</v>
      </c>
    </row>
    <row r="161" spans="1:9" x14ac:dyDescent="0.3">
      <c r="A161" t="s">
        <v>177</v>
      </c>
      <c r="B161" t="s">
        <v>25</v>
      </c>
      <c r="C161" t="s">
        <v>19</v>
      </c>
      <c r="D161">
        <v>14080</v>
      </c>
      <c r="E161" s="2">
        <v>46033</v>
      </c>
      <c r="G161" t="str">
        <v>Bronze</v>
      </c>
      <c r="H161" s="4">
        <f t="shared" ca="1" si="4"/>
        <v>221</v>
      </c>
      <c r="I161" t="str">
        <f t="shared" ca="1" si="5"/>
        <v>At Risk</v>
      </c>
    </row>
    <row r="162" spans="1:9" x14ac:dyDescent="0.3">
      <c r="A162" t="s">
        <v>178</v>
      </c>
      <c r="B162" t="s">
        <v>6</v>
      </c>
      <c r="C162" t="s">
        <v>7</v>
      </c>
      <c r="D162">
        <v>21993</v>
      </c>
      <c r="E162" s="2">
        <v>46026</v>
      </c>
      <c r="G162" t="str">
        <v>Silver</v>
      </c>
      <c r="H162" s="4">
        <f t="shared" ca="1" si="4"/>
        <v>228</v>
      </c>
      <c r="I162" t="str">
        <f t="shared" ca="1" si="5"/>
        <v>At Risk</v>
      </c>
    </row>
    <row r="163" spans="1:9" x14ac:dyDescent="0.3">
      <c r="A163" t="s">
        <v>179</v>
      </c>
      <c r="B163" t="s">
        <v>9</v>
      </c>
      <c r="C163" t="s">
        <v>10</v>
      </c>
      <c r="D163">
        <v>29906</v>
      </c>
      <c r="E163" s="2">
        <v>46019</v>
      </c>
      <c r="G163" t="str">
        <v>Silver</v>
      </c>
      <c r="H163" s="4">
        <f t="shared" ca="1" si="4"/>
        <v>235</v>
      </c>
      <c r="I163" t="str">
        <f t="shared" ca="1" si="5"/>
        <v>At Risk</v>
      </c>
    </row>
    <row r="164" spans="1:9" x14ac:dyDescent="0.3">
      <c r="A164" t="s">
        <v>180</v>
      </c>
      <c r="B164" t="s">
        <v>12</v>
      </c>
      <c r="C164" t="s">
        <v>13</v>
      </c>
      <c r="D164">
        <v>37819</v>
      </c>
      <c r="E164" s="2">
        <v>46012</v>
      </c>
      <c r="G164" t="str">
        <v>Silver</v>
      </c>
      <c r="H164" s="4">
        <f t="shared" ca="1" si="4"/>
        <v>242</v>
      </c>
      <c r="I164" t="str">
        <f t="shared" ca="1" si="5"/>
        <v>At Risk</v>
      </c>
    </row>
    <row r="165" spans="1:9" x14ac:dyDescent="0.3">
      <c r="A165" t="s">
        <v>181</v>
      </c>
      <c r="B165" t="s">
        <v>15</v>
      </c>
      <c r="C165" t="s">
        <v>16</v>
      </c>
      <c r="D165">
        <v>45732</v>
      </c>
      <c r="E165" s="2">
        <v>46005</v>
      </c>
      <c r="G165" t="str">
        <v>Silver</v>
      </c>
      <c r="H165" s="4">
        <f t="shared" ca="1" si="4"/>
        <v>249</v>
      </c>
      <c r="I165" t="str">
        <f t="shared" ca="1" si="5"/>
        <v>At Risk</v>
      </c>
    </row>
    <row r="166" spans="1:9" x14ac:dyDescent="0.3">
      <c r="A166" t="s">
        <v>182</v>
      </c>
      <c r="B166" t="s">
        <v>18</v>
      </c>
      <c r="C166" t="s">
        <v>19</v>
      </c>
      <c r="D166">
        <v>53645</v>
      </c>
      <c r="E166" s="2">
        <v>45998</v>
      </c>
      <c r="G166" t="str">
        <v>Gold</v>
      </c>
      <c r="H166" s="4">
        <f t="shared" ca="1" si="4"/>
        <v>256</v>
      </c>
      <c r="I166" t="str">
        <f t="shared" ca="1" si="5"/>
        <v>At Risk</v>
      </c>
    </row>
    <row r="167" spans="1:9" x14ac:dyDescent="0.3">
      <c r="A167" t="s">
        <v>183</v>
      </c>
      <c r="B167" t="s">
        <v>21</v>
      </c>
      <c r="C167" t="s">
        <v>7</v>
      </c>
      <c r="D167">
        <v>61558</v>
      </c>
      <c r="E167" s="2">
        <v>45991</v>
      </c>
      <c r="G167" t="str">
        <v>Gold</v>
      </c>
      <c r="H167" s="4">
        <f t="shared" ca="1" si="4"/>
        <v>263</v>
      </c>
      <c r="I167" t="str">
        <f t="shared" ca="1" si="5"/>
        <v>At Risk</v>
      </c>
    </row>
    <row r="168" spans="1:9" x14ac:dyDescent="0.3">
      <c r="A168" t="s">
        <v>184</v>
      </c>
      <c r="B168" t="s">
        <v>23</v>
      </c>
      <c r="C168" t="s">
        <v>10</v>
      </c>
      <c r="D168">
        <v>69471</v>
      </c>
      <c r="E168" s="2">
        <v>45984</v>
      </c>
      <c r="G168" t="str">
        <v>Gold</v>
      </c>
      <c r="H168" s="4">
        <f t="shared" ca="1" si="4"/>
        <v>270</v>
      </c>
      <c r="I168" t="str">
        <f t="shared" ca="1" si="5"/>
        <v>At Risk</v>
      </c>
    </row>
    <row r="169" spans="1:9" x14ac:dyDescent="0.3">
      <c r="A169" t="s">
        <v>185</v>
      </c>
      <c r="B169" t="s">
        <v>25</v>
      </c>
      <c r="C169" t="s">
        <v>13</v>
      </c>
      <c r="D169">
        <v>77384</v>
      </c>
      <c r="E169" s="2">
        <v>45977</v>
      </c>
      <c r="G169" t="str">
        <v>Gold</v>
      </c>
      <c r="H169" s="4">
        <f t="shared" ca="1" si="4"/>
        <v>277</v>
      </c>
      <c r="I169" t="str">
        <f t="shared" ca="1" si="5"/>
        <v>At Risk</v>
      </c>
    </row>
    <row r="170" spans="1:9" x14ac:dyDescent="0.3">
      <c r="A170" t="s">
        <v>186</v>
      </c>
      <c r="B170" t="s">
        <v>6</v>
      </c>
      <c r="C170" t="s">
        <v>16</v>
      </c>
      <c r="D170">
        <v>15297</v>
      </c>
      <c r="E170" s="2">
        <v>45970</v>
      </c>
      <c r="G170" t="str">
        <v>Bronze</v>
      </c>
      <c r="H170" s="4">
        <f t="shared" ca="1" si="4"/>
        <v>284</v>
      </c>
      <c r="I170" t="str">
        <f t="shared" ca="1" si="5"/>
        <v>At Risk</v>
      </c>
    </row>
    <row r="171" spans="1:9" x14ac:dyDescent="0.3">
      <c r="A171" t="s">
        <v>187</v>
      </c>
      <c r="B171" t="s">
        <v>9</v>
      </c>
      <c r="C171" t="s">
        <v>19</v>
      </c>
      <c r="D171">
        <v>23210</v>
      </c>
      <c r="E171" s="2">
        <v>45963</v>
      </c>
      <c r="G171" t="str">
        <v>Silver</v>
      </c>
      <c r="H171" s="4">
        <f t="shared" ca="1" si="4"/>
        <v>291</v>
      </c>
      <c r="I171" t="str">
        <f t="shared" ca="1" si="5"/>
        <v>At Risk</v>
      </c>
    </row>
    <row r="172" spans="1:9" x14ac:dyDescent="0.3">
      <c r="A172" t="s">
        <v>188</v>
      </c>
      <c r="B172" t="s">
        <v>12</v>
      </c>
      <c r="C172" t="s">
        <v>7</v>
      </c>
      <c r="D172">
        <v>31123</v>
      </c>
      <c r="E172" s="2">
        <v>45956</v>
      </c>
      <c r="G172" t="str">
        <v>Silver</v>
      </c>
      <c r="H172" s="4">
        <f t="shared" ca="1" si="4"/>
        <v>298</v>
      </c>
      <c r="I172" t="str">
        <f t="shared" ca="1" si="5"/>
        <v>At Risk</v>
      </c>
    </row>
    <row r="173" spans="1:9" x14ac:dyDescent="0.3">
      <c r="A173" t="s">
        <v>189</v>
      </c>
      <c r="B173" t="s">
        <v>15</v>
      </c>
      <c r="C173" t="s">
        <v>10</v>
      </c>
      <c r="D173">
        <v>39036</v>
      </c>
      <c r="E173" s="2">
        <v>46249</v>
      </c>
      <c r="G173" t="str">
        <v>Silver</v>
      </c>
      <c r="H173" s="4">
        <f t="shared" ca="1" si="4"/>
        <v>5</v>
      </c>
      <c r="I173" t="str">
        <f t="shared" ca="1" si="5"/>
        <v>Active</v>
      </c>
    </row>
    <row r="174" spans="1:9" x14ac:dyDescent="0.3">
      <c r="A174" t="s">
        <v>190</v>
      </c>
      <c r="B174" t="s">
        <v>18</v>
      </c>
      <c r="C174" t="s">
        <v>13</v>
      </c>
      <c r="D174">
        <v>46949</v>
      </c>
      <c r="E174" s="2">
        <v>46242</v>
      </c>
      <c r="G174" t="str">
        <v>Silver</v>
      </c>
      <c r="H174" s="4">
        <f t="shared" ca="1" si="4"/>
        <v>12</v>
      </c>
      <c r="I174" t="str">
        <f t="shared" ca="1" si="5"/>
        <v>Active</v>
      </c>
    </row>
    <row r="175" spans="1:9" x14ac:dyDescent="0.3">
      <c r="A175" t="s">
        <v>191</v>
      </c>
      <c r="B175" t="s">
        <v>21</v>
      </c>
      <c r="C175" t="s">
        <v>16</v>
      </c>
      <c r="D175">
        <v>54862</v>
      </c>
      <c r="E175" s="2">
        <v>46235</v>
      </c>
      <c r="G175" t="str">
        <v>Gold</v>
      </c>
      <c r="H175" s="4">
        <f t="shared" ca="1" si="4"/>
        <v>19</v>
      </c>
      <c r="I175" t="str">
        <f t="shared" ca="1" si="5"/>
        <v>Active</v>
      </c>
    </row>
    <row r="176" spans="1:9" x14ac:dyDescent="0.3">
      <c r="A176" t="s">
        <v>192</v>
      </c>
      <c r="B176" t="s">
        <v>23</v>
      </c>
      <c r="C176" t="s">
        <v>19</v>
      </c>
      <c r="D176">
        <v>62775</v>
      </c>
      <c r="E176" s="2">
        <v>46228</v>
      </c>
      <c r="G176" t="str">
        <v>Gold</v>
      </c>
      <c r="H176" s="4">
        <f t="shared" ca="1" si="4"/>
        <v>26</v>
      </c>
      <c r="I176" t="str">
        <f t="shared" ca="1" si="5"/>
        <v>Active</v>
      </c>
    </row>
    <row r="177" spans="1:9" x14ac:dyDescent="0.3">
      <c r="A177" t="s">
        <v>193</v>
      </c>
      <c r="B177" t="s">
        <v>25</v>
      </c>
      <c r="C177" t="s">
        <v>7</v>
      </c>
      <c r="D177">
        <v>70688</v>
      </c>
      <c r="E177" s="2">
        <v>46221</v>
      </c>
      <c r="G177" t="str">
        <v>Gold</v>
      </c>
      <c r="H177" s="4">
        <f t="shared" ca="1" si="4"/>
        <v>33</v>
      </c>
      <c r="I177" t="str">
        <f t="shared" ca="1" si="5"/>
        <v>Active</v>
      </c>
    </row>
    <row r="178" spans="1:9" x14ac:dyDescent="0.3">
      <c r="A178" t="s">
        <v>194</v>
      </c>
      <c r="B178" t="s">
        <v>6</v>
      </c>
      <c r="C178" t="s">
        <v>10</v>
      </c>
      <c r="D178">
        <v>8601</v>
      </c>
      <c r="E178" s="2">
        <v>46214</v>
      </c>
      <c r="G178" t="str">
        <v>Bronze</v>
      </c>
      <c r="H178" s="4">
        <f t="shared" ca="1" si="4"/>
        <v>40</v>
      </c>
      <c r="I178" t="str">
        <f t="shared" ca="1" si="5"/>
        <v>Active</v>
      </c>
    </row>
    <row r="179" spans="1:9" x14ac:dyDescent="0.3">
      <c r="A179" t="s">
        <v>195</v>
      </c>
      <c r="B179" t="s">
        <v>9</v>
      </c>
      <c r="C179" t="s">
        <v>13</v>
      </c>
      <c r="D179">
        <v>16514</v>
      </c>
      <c r="E179" s="2">
        <v>46207</v>
      </c>
      <c r="G179" t="str">
        <v>Bronze</v>
      </c>
      <c r="H179" s="4">
        <f t="shared" ca="1" si="4"/>
        <v>47</v>
      </c>
      <c r="I179" t="str">
        <f t="shared" ca="1" si="5"/>
        <v>Active</v>
      </c>
    </row>
    <row r="180" spans="1:9" x14ac:dyDescent="0.3">
      <c r="A180" t="s">
        <v>196</v>
      </c>
      <c r="B180" t="s">
        <v>12</v>
      </c>
      <c r="C180" t="s">
        <v>16</v>
      </c>
      <c r="D180">
        <v>24427</v>
      </c>
      <c r="E180" s="2">
        <v>46200</v>
      </c>
      <c r="G180" t="str">
        <v>Silver</v>
      </c>
      <c r="H180" s="4">
        <f t="shared" ca="1" si="4"/>
        <v>54</v>
      </c>
      <c r="I180" t="str">
        <f t="shared" ca="1" si="5"/>
        <v>Active</v>
      </c>
    </row>
    <row r="181" spans="1:9" x14ac:dyDescent="0.3">
      <c r="A181" t="s">
        <v>197</v>
      </c>
      <c r="B181" t="s">
        <v>15</v>
      </c>
      <c r="C181" t="s">
        <v>19</v>
      </c>
      <c r="D181">
        <v>32340</v>
      </c>
      <c r="E181" s="2">
        <v>46193</v>
      </c>
      <c r="G181" t="str">
        <v>Silver</v>
      </c>
      <c r="H181" s="4">
        <f t="shared" ca="1" si="4"/>
        <v>61</v>
      </c>
      <c r="I181" t="str">
        <f t="shared" ca="1" si="5"/>
        <v>Active</v>
      </c>
    </row>
    <row r="182" spans="1:9" x14ac:dyDescent="0.3">
      <c r="A182" t="s">
        <v>198</v>
      </c>
      <c r="B182" t="s">
        <v>18</v>
      </c>
      <c r="C182" t="s">
        <v>7</v>
      </c>
      <c r="D182">
        <v>40253</v>
      </c>
      <c r="E182" s="2">
        <v>46186</v>
      </c>
      <c r="G182" t="str">
        <v>Silver</v>
      </c>
      <c r="H182" s="4">
        <f t="shared" ca="1" si="4"/>
        <v>68</v>
      </c>
      <c r="I182" t="str">
        <f t="shared" ca="1" si="5"/>
        <v>Active</v>
      </c>
    </row>
    <row r="183" spans="1:9" x14ac:dyDescent="0.3">
      <c r="A183" t="s">
        <v>199</v>
      </c>
      <c r="B183" t="s">
        <v>21</v>
      </c>
      <c r="C183" t="s">
        <v>10</v>
      </c>
      <c r="D183">
        <v>48166</v>
      </c>
      <c r="E183" s="2">
        <v>46179</v>
      </c>
      <c r="G183" t="str">
        <v>Silver</v>
      </c>
      <c r="H183" s="4">
        <f t="shared" ca="1" si="4"/>
        <v>75</v>
      </c>
      <c r="I183" t="str">
        <f t="shared" ca="1" si="5"/>
        <v>Active</v>
      </c>
    </row>
    <row r="184" spans="1:9" x14ac:dyDescent="0.3">
      <c r="A184" t="s">
        <v>200</v>
      </c>
      <c r="B184" t="s">
        <v>23</v>
      </c>
      <c r="C184" t="s">
        <v>13</v>
      </c>
      <c r="D184">
        <v>56079</v>
      </c>
      <c r="E184" s="2">
        <v>46172</v>
      </c>
      <c r="G184" t="str">
        <v>Gold</v>
      </c>
      <c r="H184" s="4">
        <f t="shared" ca="1" si="4"/>
        <v>82</v>
      </c>
      <c r="I184" t="str">
        <f t="shared" ca="1" si="5"/>
        <v>Active</v>
      </c>
    </row>
    <row r="185" spans="1:9" x14ac:dyDescent="0.3">
      <c r="A185" t="s">
        <v>201</v>
      </c>
      <c r="B185" t="s">
        <v>25</v>
      </c>
      <c r="C185" t="s">
        <v>16</v>
      </c>
      <c r="D185">
        <v>63992</v>
      </c>
      <c r="E185" s="2">
        <v>46165</v>
      </c>
      <c r="G185" t="str">
        <v>Gold</v>
      </c>
      <c r="H185" s="4">
        <f t="shared" ca="1" si="4"/>
        <v>89</v>
      </c>
      <c r="I185" t="str">
        <f t="shared" ca="1" si="5"/>
        <v>Active</v>
      </c>
    </row>
    <row r="186" spans="1:9" x14ac:dyDescent="0.3">
      <c r="A186" t="s">
        <v>202</v>
      </c>
      <c r="B186" t="s">
        <v>6</v>
      </c>
      <c r="C186" t="s">
        <v>19</v>
      </c>
      <c r="D186">
        <v>71905</v>
      </c>
      <c r="E186" s="2">
        <v>46158</v>
      </c>
      <c r="G186" t="str">
        <v>Gold</v>
      </c>
      <c r="H186" s="4">
        <f t="shared" ca="1" si="4"/>
        <v>96</v>
      </c>
      <c r="I186" t="str">
        <f t="shared" ca="1" si="5"/>
        <v>At Risk</v>
      </c>
    </row>
    <row r="187" spans="1:9" x14ac:dyDescent="0.3">
      <c r="A187" t="s">
        <v>203</v>
      </c>
      <c r="B187" t="s">
        <v>9</v>
      </c>
      <c r="C187" t="s">
        <v>7</v>
      </c>
      <c r="D187">
        <v>9818</v>
      </c>
      <c r="E187" s="2">
        <v>46151</v>
      </c>
      <c r="G187" t="str">
        <v>Bronze</v>
      </c>
      <c r="H187" s="4">
        <f t="shared" ca="1" si="4"/>
        <v>103</v>
      </c>
      <c r="I187" t="str">
        <f t="shared" ca="1" si="5"/>
        <v>At Risk</v>
      </c>
    </row>
    <row r="188" spans="1:9" x14ac:dyDescent="0.3">
      <c r="A188" t="s">
        <v>204</v>
      </c>
      <c r="B188" t="s">
        <v>12</v>
      </c>
      <c r="C188" t="s">
        <v>10</v>
      </c>
      <c r="D188">
        <v>17731</v>
      </c>
      <c r="E188" s="2">
        <v>46144</v>
      </c>
      <c r="G188" t="str">
        <v>Bronze</v>
      </c>
      <c r="H188" s="4">
        <f t="shared" ca="1" si="4"/>
        <v>110</v>
      </c>
      <c r="I188" t="str">
        <f t="shared" ca="1" si="5"/>
        <v>At Risk</v>
      </c>
    </row>
    <row r="189" spans="1:9" x14ac:dyDescent="0.3">
      <c r="A189" t="s">
        <v>205</v>
      </c>
      <c r="B189" t="s">
        <v>15</v>
      </c>
      <c r="C189" t="s">
        <v>13</v>
      </c>
      <c r="D189">
        <v>25644</v>
      </c>
      <c r="E189" s="2">
        <v>46137</v>
      </c>
      <c r="G189" t="str">
        <v>Silver</v>
      </c>
      <c r="H189" s="4">
        <f t="shared" ca="1" si="4"/>
        <v>117</v>
      </c>
      <c r="I189" t="str">
        <f t="shared" ca="1" si="5"/>
        <v>At Risk</v>
      </c>
    </row>
    <row r="190" spans="1:9" x14ac:dyDescent="0.3">
      <c r="A190" t="s">
        <v>206</v>
      </c>
      <c r="B190" t="s">
        <v>18</v>
      </c>
      <c r="C190" t="s">
        <v>16</v>
      </c>
      <c r="D190">
        <v>33557</v>
      </c>
      <c r="E190" s="2">
        <v>46130</v>
      </c>
      <c r="G190" t="str">
        <v>Silver</v>
      </c>
      <c r="H190" s="4">
        <f t="shared" ca="1" si="4"/>
        <v>124</v>
      </c>
      <c r="I190" t="str">
        <f t="shared" ca="1" si="5"/>
        <v>At Risk</v>
      </c>
    </row>
    <row r="191" spans="1:9" x14ac:dyDescent="0.3">
      <c r="A191" t="s">
        <v>207</v>
      </c>
      <c r="B191" t="s">
        <v>21</v>
      </c>
      <c r="C191" t="s">
        <v>19</v>
      </c>
      <c r="D191">
        <v>41470</v>
      </c>
      <c r="E191" s="2">
        <v>46123</v>
      </c>
      <c r="G191" t="str">
        <v>Silver</v>
      </c>
      <c r="H191" s="4">
        <f t="shared" ca="1" si="4"/>
        <v>131</v>
      </c>
      <c r="I191" t="str">
        <f t="shared" ca="1" si="5"/>
        <v>At Risk</v>
      </c>
    </row>
    <row r="192" spans="1:9" x14ac:dyDescent="0.3">
      <c r="A192" t="s">
        <v>208</v>
      </c>
      <c r="B192" t="s">
        <v>23</v>
      </c>
      <c r="C192" t="s">
        <v>7</v>
      </c>
      <c r="D192">
        <v>49383</v>
      </c>
      <c r="E192" s="2">
        <v>46116</v>
      </c>
      <c r="G192" t="str">
        <v>Silver</v>
      </c>
      <c r="H192" s="4">
        <f t="shared" ca="1" si="4"/>
        <v>138</v>
      </c>
      <c r="I192" t="str">
        <f t="shared" ca="1" si="5"/>
        <v>At Risk</v>
      </c>
    </row>
    <row r="193" spans="1:9" x14ac:dyDescent="0.3">
      <c r="A193" t="s">
        <v>209</v>
      </c>
      <c r="B193" t="s">
        <v>25</v>
      </c>
      <c r="C193" t="s">
        <v>10</v>
      </c>
      <c r="D193">
        <v>57296</v>
      </c>
      <c r="E193" s="2">
        <v>46109</v>
      </c>
      <c r="G193" t="str">
        <v>Gold</v>
      </c>
      <c r="H193" s="4">
        <f t="shared" ca="1" si="4"/>
        <v>145</v>
      </c>
      <c r="I193" t="str">
        <f t="shared" ca="1" si="5"/>
        <v>At Risk</v>
      </c>
    </row>
    <row r="194" spans="1:9" x14ac:dyDescent="0.3">
      <c r="A194" t="s">
        <v>210</v>
      </c>
      <c r="B194" t="s">
        <v>6</v>
      </c>
      <c r="C194" t="s">
        <v>13</v>
      </c>
      <c r="D194">
        <v>65209</v>
      </c>
      <c r="E194" s="2">
        <v>46102</v>
      </c>
      <c r="G194" t="str">
        <v>Gold</v>
      </c>
      <c r="H194" s="4">
        <f t="shared" ca="1" si="4"/>
        <v>152</v>
      </c>
      <c r="I194" t="str">
        <f t="shared" ca="1" si="5"/>
        <v>At Risk</v>
      </c>
    </row>
    <row r="195" spans="1:9" x14ac:dyDescent="0.3">
      <c r="A195" t="s">
        <v>211</v>
      </c>
      <c r="B195" t="s">
        <v>9</v>
      </c>
      <c r="C195" t="s">
        <v>16</v>
      </c>
      <c r="D195">
        <v>73122</v>
      </c>
      <c r="E195" s="2">
        <v>46095</v>
      </c>
      <c r="G195" t="str">
        <v>Gold</v>
      </c>
      <c r="H195" s="4">
        <f t="shared" ref="H195:H201" ca="1" si="6">TODAY() - E195</f>
        <v>159</v>
      </c>
      <c r="I195" t="str">
        <f t="shared" ref="I195:I201" ca="1" si="7">IF(H195 &gt;= 90,"At Risk", "Active")</f>
        <v>At Risk</v>
      </c>
    </row>
    <row r="196" spans="1:9" x14ac:dyDescent="0.3">
      <c r="A196" t="s">
        <v>212</v>
      </c>
      <c r="B196" t="s">
        <v>12</v>
      </c>
      <c r="C196" t="s">
        <v>19</v>
      </c>
      <c r="D196">
        <v>11035</v>
      </c>
      <c r="E196" s="2">
        <v>46088</v>
      </c>
      <c r="G196" t="str">
        <v>Bronze</v>
      </c>
      <c r="H196" s="4">
        <f t="shared" ca="1" si="6"/>
        <v>166</v>
      </c>
      <c r="I196" t="str">
        <f t="shared" ca="1" si="7"/>
        <v>At Risk</v>
      </c>
    </row>
    <row r="197" spans="1:9" x14ac:dyDescent="0.3">
      <c r="A197" t="s">
        <v>213</v>
      </c>
      <c r="B197" t="s">
        <v>15</v>
      </c>
      <c r="C197" t="s">
        <v>7</v>
      </c>
      <c r="D197">
        <v>18948</v>
      </c>
      <c r="E197" s="2">
        <v>46081</v>
      </c>
      <c r="G197" t="str">
        <v>Bronze</v>
      </c>
      <c r="H197" s="4">
        <f t="shared" ca="1" si="6"/>
        <v>173</v>
      </c>
      <c r="I197" t="str">
        <f t="shared" ca="1" si="7"/>
        <v>At Risk</v>
      </c>
    </row>
    <row r="198" spans="1:9" x14ac:dyDescent="0.3">
      <c r="A198" t="s">
        <v>214</v>
      </c>
      <c r="B198" t="s">
        <v>18</v>
      </c>
      <c r="C198" t="s">
        <v>10</v>
      </c>
      <c r="D198">
        <v>26861</v>
      </c>
      <c r="E198" s="2">
        <v>46074</v>
      </c>
      <c r="G198" t="str">
        <v>Silver</v>
      </c>
      <c r="H198" s="4">
        <f t="shared" ca="1" si="6"/>
        <v>180</v>
      </c>
      <c r="I198" t="str">
        <f t="shared" ca="1" si="7"/>
        <v>At Risk</v>
      </c>
    </row>
    <row r="199" spans="1:9" x14ac:dyDescent="0.3">
      <c r="A199" t="s">
        <v>215</v>
      </c>
      <c r="B199" t="s">
        <v>21</v>
      </c>
      <c r="C199" t="s">
        <v>13</v>
      </c>
      <c r="D199">
        <v>34774</v>
      </c>
      <c r="E199" s="2">
        <v>46067</v>
      </c>
      <c r="G199" t="str">
        <v>Silver</v>
      </c>
      <c r="H199" s="4">
        <f t="shared" ca="1" si="6"/>
        <v>187</v>
      </c>
      <c r="I199" t="str">
        <f t="shared" ca="1" si="7"/>
        <v>At Risk</v>
      </c>
    </row>
    <row r="200" spans="1:9" x14ac:dyDescent="0.3">
      <c r="A200" t="s">
        <v>216</v>
      </c>
      <c r="B200" t="s">
        <v>23</v>
      </c>
      <c r="C200" t="s">
        <v>16</v>
      </c>
      <c r="D200">
        <v>42687</v>
      </c>
      <c r="E200" s="2">
        <v>46060</v>
      </c>
      <c r="G200" t="str">
        <v>Silver</v>
      </c>
      <c r="H200" s="4">
        <f t="shared" ca="1" si="6"/>
        <v>194</v>
      </c>
      <c r="I200" t="str">
        <f t="shared" ca="1" si="7"/>
        <v>At Risk</v>
      </c>
    </row>
    <row r="201" spans="1:9" x14ac:dyDescent="0.3">
      <c r="A201" t="s">
        <v>217</v>
      </c>
      <c r="B201" t="s">
        <v>25</v>
      </c>
      <c r="C201" t="s">
        <v>19</v>
      </c>
      <c r="D201">
        <v>50600</v>
      </c>
      <c r="E201" s="2">
        <v>46053</v>
      </c>
      <c r="G201" t="str">
        <v>Gold</v>
      </c>
      <c r="H201" s="4">
        <f t="shared" ca="1" si="6"/>
        <v>201</v>
      </c>
      <c r="I201" t="str">
        <f t="shared" ca="1" si="7"/>
        <v>At Risk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1</vt:lpstr>
      <vt:lpstr>Exercise 2</vt:lpstr>
      <vt:lpstr>Exercise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Ashrey</dc:creator>
  <cp:lastModifiedBy>Mahmoud Ashrey</cp:lastModifiedBy>
  <dcterms:created xsi:type="dcterms:W3CDTF">2026-08-20T14:20:04Z</dcterms:created>
  <dcterms:modified xsi:type="dcterms:W3CDTF">2026-08-20T15:31:12Z</dcterms:modified>
</cp:coreProperties>
</file>
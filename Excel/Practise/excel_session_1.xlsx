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I-Diploma\Excel\"/>
    </mc:Choice>
  </mc:AlternateContent>
  <xr:revisionPtr revIDLastSave="0" documentId="13_ncr:1_{D324CE52-850C-4FB6-8615-B930D8A277A6}" xr6:coauthVersionLast="47" xr6:coauthVersionMax="47" xr10:uidLastSave="{00000000-0000-0000-0000-000000000000}"/>
  <bookViews>
    <workbookView xWindow="-108" yWindow="-108" windowWidth="23256" windowHeight="13176" activeTab="7" xr2:uid="{F7F90361-082F-4E64-BFEC-69C5DBF818B6}"/>
  </bookViews>
  <sheets>
    <sheet name="Products" sheetId="1" r:id="rId1"/>
    <sheet name="Sheet5" sheetId="11" r:id="rId2"/>
    <sheet name="Notes" sheetId="2" r:id="rId3"/>
    <sheet name="Practice 1" sheetId="3" r:id="rId4"/>
    <sheet name="Exercise 3" sheetId="4" r:id="rId5"/>
    <sheet name="Exercise 7" sheetId="5" r:id="rId6"/>
    <sheet name="Sheet3" sheetId="7" r:id="rId7"/>
    <sheet name="Exercise 10" sheetId="6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5" l="1"/>
  <c r="N3" i="5" a="1"/>
  <c r="N3" i="5" s="1"/>
  <c r="N4" i="5" a="1"/>
  <c r="N4" i="5" s="1"/>
  <c r="N5" i="5" a="1"/>
  <c r="N5" i="5" s="1"/>
  <c r="N6" i="5" a="1"/>
  <c r="N6" i="5" s="1"/>
  <c r="N7" i="5" a="1"/>
  <c r="N7" i="5" s="1"/>
  <c r="N8" i="5" a="1"/>
  <c r="N8" i="5"/>
  <c r="N9" i="5" a="1"/>
  <c r="N9" i="5" s="1"/>
  <c r="N10" i="5" a="1"/>
  <c r="N10" i="5" s="1"/>
  <c r="N11" i="5" a="1"/>
  <c r="N11" i="5" s="1"/>
  <c r="N12" i="5" a="1"/>
  <c r="N12" i="5" s="1"/>
  <c r="N13" i="5" a="1"/>
  <c r="N13" i="5" s="1"/>
  <c r="N14" i="5" a="1"/>
  <c r="N14" i="5"/>
  <c r="N15" i="5" a="1"/>
  <c r="N15" i="5" s="1"/>
  <c r="N16" i="5" a="1"/>
  <c r="N16" i="5" s="1"/>
  <c r="N17" i="5" a="1"/>
  <c r="N17" i="5" s="1"/>
  <c r="N18" i="5" a="1"/>
  <c r="N18" i="5" s="1"/>
  <c r="N19" i="5" a="1"/>
  <c r="N19" i="5" s="1"/>
  <c r="N20" i="5" a="1"/>
  <c r="N20" i="5"/>
  <c r="N21" i="5" a="1"/>
  <c r="N21" i="5" s="1"/>
  <c r="N22" i="5" a="1"/>
  <c r="N22" i="5" s="1"/>
  <c r="N23" i="5" a="1"/>
  <c r="N23" i="5" s="1"/>
  <c r="N24" i="5" a="1"/>
  <c r="N24" i="5" s="1"/>
  <c r="N25" i="5" a="1"/>
  <c r="N25" i="5" s="1"/>
  <c r="N26" i="5" a="1"/>
  <c r="N26" i="5"/>
  <c r="N27" i="5" a="1"/>
  <c r="N27" i="5" s="1"/>
  <c r="N28" i="5" a="1"/>
  <c r="N28" i="5" s="1"/>
  <c r="N29" i="5" a="1"/>
  <c r="N29" i="5" s="1"/>
  <c r="N30" i="5" a="1"/>
  <c r="N30" i="5" s="1"/>
  <c r="N31" i="5" a="1"/>
  <c r="N31" i="5" s="1"/>
  <c r="N32" i="5" a="1"/>
  <c r="N32" i="5"/>
  <c r="N33" i="5" a="1"/>
  <c r="N33" i="5" s="1"/>
  <c r="N34" i="5" a="1"/>
  <c r="N34" i="5" s="1"/>
  <c r="N35" i="5" a="1"/>
  <c r="N35" i="5" s="1"/>
  <c r="N36" i="5" a="1"/>
  <c r="N36" i="5" s="1"/>
  <c r="N37" i="5" a="1"/>
  <c r="N37" i="5" s="1"/>
  <c r="N38" i="5" a="1"/>
  <c r="N38" i="5"/>
  <c r="N39" i="5" a="1"/>
  <c r="N39" i="5" s="1"/>
  <c r="N40" i="5" a="1"/>
  <c r="N40" i="5" s="1"/>
  <c r="N41" i="5" a="1"/>
  <c r="N41" i="5" s="1"/>
  <c r="N2" i="5" a="1"/>
  <c r="N2" i="5" s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F2" i="6" a="1"/>
  <c r="F2" i="6" s="1"/>
  <c r="G2" i="6"/>
  <c r="H2" i="6" s="1"/>
  <c r="K2" i="6"/>
  <c r="F3" i="6" a="1"/>
  <c r="F3" i="6" s="1"/>
  <c r="G3" i="6"/>
  <c r="H3" i="6" s="1"/>
  <c r="F4" i="6" a="1"/>
  <c r="F4" i="6"/>
  <c r="G4" i="6"/>
  <c r="H4" i="6" s="1"/>
  <c r="F5" i="6" a="1"/>
  <c r="F5" i="6"/>
  <c r="G5" i="6"/>
  <c r="H5" i="6" s="1"/>
  <c r="F6" i="6" a="1"/>
  <c r="F6" i="6" s="1"/>
  <c r="G6" i="6"/>
  <c r="H6" i="6" s="1"/>
  <c r="F7" i="6" a="1"/>
  <c r="F7" i="6"/>
  <c r="G7" i="6"/>
  <c r="H7" i="6" s="1"/>
  <c r="F8" i="6" a="1"/>
  <c r="F8" i="6"/>
  <c r="G8" i="6"/>
  <c r="H8" i="6" s="1"/>
  <c r="F9" i="6" a="1"/>
  <c r="F9" i="6" s="1"/>
  <c r="G9" i="6"/>
  <c r="H9" i="6" s="1"/>
  <c r="F10" i="6" a="1"/>
  <c r="F10" i="6"/>
  <c r="G10" i="6"/>
  <c r="H10" i="6" s="1"/>
  <c r="F11" i="6" a="1"/>
  <c r="F11" i="6"/>
  <c r="G11" i="6"/>
  <c r="H11" i="6" s="1"/>
  <c r="F12" i="6" a="1"/>
  <c r="F12" i="6" s="1"/>
  <c r="G12" i="6"/>
  <c r="H12" i="6" s="1"/>
  <c r="F13" i="6" a="1"/>
  <c r="F13" i="6"/>
  <c r="G13" i="6"/>
  <c r="H13" i="6" s="1"/>
  <c r="F14" i="6" a="1"/>
  <c r="F14" i="6"/>
  <c r="G14" i="6"/>
  <c r="H14" i="6" s="1"/>
  <c r="F15" i="6" a="1"/>
  <c r="F15" i="6" s="1"/>
  <c r="G15" i="6"/>
  <c r="H15" i="6" s="1"/>
  <c r="F16" i="6" a="1"/>
  <c r="F16" i="6"/>
  <c r="G16" i="6"/>
  <c r="H16" i="6" s="1"/>
  <c r="F17" i="6" a="1"/>
  <c r="F17" i="6"/>
  <c r="G17" i="6"/>
  <c r="H17" i="6" s="1"/>
  <c r="F18" i="6" a="1"/>
  <c r="F18" i="6" s="1"/>
  <c r="G18" i="6"/>
  <c r="H18" i="6" s="1"/>
  <c r="F19" i="6" a="1"/>
  <c r="F19" i="6"/>
  <c r="G19" i="6"/>
  <c r="H19" i="6" s="1"/>
  <c r="F20" i="6" a="1"/>
  <c r="F20" i="6"/>
  <c r="G20" i="6"/>
  <c r="H20" i="6" s="1"/>
  <c r="F21" i="6" a="1"/>
  <c r="F21" i="6" s="1"/>
  <c r="G21" i="6"/>
  <c r="H21" i="6" s="1"/>
  <c r="F22" i="6" a="1"/>
  <c r="F22" i="6"/>
  <c r="G22" i="6"/>
  <c r="H22" i="6" s="1"/>
  <c r="F23" i="6" a="1"/>
  <c r="F23" i="6"/>
  <c r="G23" i="6"/>
  <c r="H23" i="6" s="1"/>
  <c r="F24" i="6" a="1"/>
  <c r="F24" i="6" s="1"/>
  <c r="G24" i="6"/>
  <c r="H24" i="6" s="1"/>
  <c r="F25" i="6" a="1"/>
  <c r="F25" i="6"/>
  <c r="G25" i="6"/>
  <c r="H25" i="6" s="1"/>
  <c r="F26" i="6" a="1"/>
  <c r="F26" i="6" s="1"/>
  <c r="G26" i="6"/>
  <c r="H26" i="6" s="1"/>
  <c r="F27" i="6" a="1"/>
  <c r="F27" i="6" s="1"/>
  <c r="G27" i="6"/>
  <c r="H27" i="6" s="1"/>
  <c r="F28" i="6" a="1"/>
  <c r="F28" i="6"/>
  <c r="G28" i="6"/>
  <c r="H28" i="6" s="1"/>
  <c r="F29" i="6" a="1"/>
  <c r="F29" i="6" s="1"/>
  <c r="G29" i="6"/>
  <c r="H29" i="6" s="1"/>
  <c r="F30" i="6" a="1"/>
  <c r="F30" i="6" s="1"/>
  <c r="G30" i="6"/>
  <c r="H30" i="6" s="1"/>
  <c r="F31" i="6" a="1"/>
  <c r="F31" i="6"/>
  <c r="G31" i="6"/>
  <c r="H31" i="6" s="1"/>
  <c r="F32" i="6" a="1"/>
  <c r="F32" i="6" s="1"/>
  <c r="G32" i="6"/>
  <c r="H32" i="6" s="1"/>
  <c r="F33" i="6" a="1"/>
  <c r="F33" i="6" s="1"/>
  <c r="G33" i="6"/>
  <c r="H33" i="6" s="1"/>
  <c r="F34" i="6" a="1"/>
  <c r="F34" i="6"/>
  <c r="G34" i="6"/>
  <c r="H34" i="6" s="1"/>
  <c r="F35" i="6" a="1"/>
  <c r="F35" i="6" s="1"/>
  <c r="G35" i="6"/>
  <c r="H35" i="6" s="1"/>
  <c r="F36" i="6" a="1"/>
  <c r="F36" i="6" s="1"/>
  <c r="G36" i="6"/>
  <c r="H36" i="6" s="1"/>
  <c r="F37" i="6" a="1"/>
  <c r="F37" i="6"/>
  <c r="G37" i="6"/>
  <c r="H37" i="6" s="1"/>
  <c r="F38" i="6" a="1"/>
  <c r="F38" i="6" s="1"/>
  <c r="G38" i="6"/>
  <c r="H38" i="6" s="1"/>
  <c r="F39" i="6" a="1"/>
  <c r="F39" i="6" s="1"/>
  <c r="G39" i="6"/>
  <c r="H39" i="6" s="1"/>
  <c r="F40" i="6" a="1"/>
  <c r="F40" i="6"/>
  <c r="G40" i="6"/>
  <c r="H40" i="6" s="1"/>
  <c r="F41" i="6" a="1"/>
  <c r="F41" i="6" s="1"/>
  <c r="G41" i="6"/>
  <c r="H41" i="6" s="1"/>
  <c r="F42" i="6" a="1"/>
  <c r="F42" i="6" s="1"/>
  <c r="G42" i="6"/>
  <c r="H42" i="6" s="1"/>
  <c r="F43" i="6" a="1"/>
  <c r="F43" i="6"/>
  <c r="G43" i="6"/>
  <c r="H43" i="6" s="1"/>
  <c r="F44" i="6" a="1"/>
  <c r="F44" i="6" s="1"/>
  <c r="G44" i="6"/>
  <c r="H44" i="6" s="1"/>
  <c r="F45" i="6" a="1"/>
  <c r="F45" i="6" s="1"/>
  <c r="G45" i="6"/>
  <c r="H45" i="6" s="1"/>
  <c r="F46" i="6" a="1"/>
  <c r="F46" i="6"/>
  <c r="G46" i="6"/>
  <c r="H46" i="6" s="1"/>
  <c r="F47" i="6" a="1"/>
  <c r="F47" i="6" s="1"/>
  <c r="G47" i="6"/>
  <c r="H47" i="6" s="1"/>
  <c r="F48" i="6" a="1"/>
  <c r="F48" i="6" s="1"/>
  <c r="G48" i="6"/>
  <c r="H48" i="6" s="1"/>
  <c r="F49" i="6" a="1"/>
  <c r="F49" i="6"/>
  <c r="G49" i="6"/>
  <c r="H49" i="6" s="1"/>
  <c r="F50" i="6" a="1"/>
  <c r="F50" i="6" s="1"/>
  <c r="G50" i="6"/>
  <c r="H50" i="6" s="1"/>
  <c r="F51" i="6" a="1"/>
  <c r="F51" i="6" s="1"/>
  <c r="G51" i="6"/>
  <c r="H51" i="6" s="1"/>
  <c r="F52" i="6" a="1"/>
  <c r="F52" i="6"/>
  <c r="G52" i="6"/>
  <c r="H52" i="6" s="1"/>
  <c r="F53" i="6" a="1"/>
  <c r="F53" i="6" s="1"/>
  <c r="G53" i="6"/>
  <c r="H53" i="6" s="1"/>
  <c r="F54" i="6" a="1"/>
  <c r="F54" i="6" s="1"/>
  <c r="G54" i="6"/>
  <c r="H54" i="6" s="1"/>
  <c r="F55" i="6" a="1"/>
  <c r="F55" i="6"/>
  <c r="G55" i="6"/>
  <c r="H55" i="6" s="1"/>
  <c r="F56" i="6" a="1"/>
  <c r="F56" i="6" s="1"/>
  <c r="G56" i="6"/>
  <c r="H56" i="6" s="1"/>
  <c r="F57" i="6" a="1"/>
  <c r="F57" i="6" s="1"/>
  <c r="G57" i="6"/>
  <c r="H57" i="6" s="1"/>
  <c r="F58" i="6" a="1"/>
  <c r="F58" i="6"/>
  <c r="G58" i="6"/>
  <c r="H58" i="6" s="1"/>
  <c r="F59" i="6" a="1"/>
  <c r="F59" i="6" s="1"/>
  <c r="G59" i="6"/>
  <c r="H59" i="6" s="1"/>
  <c r="F60" i="6" a="1"/>
  <c r="F60" i="6" s="1"/>
  <c r="G60" i="6"/>
  <c r="H60" i="6" s="1"/>
  <c r="F61" i="6" a="1"/>
  <c r="F61" i="6"/>
  <c r="G61" i="6"/>
  <c r="H61" i="6" s="1"/>
  <c r="F62" i="6" a="1"/>
  <c r="F62" i="6" s="1"/>
  <c r="G62" i="6"/>
  <c r="H62" i="6" s="1"/>
  <c r="F63" i="6" a="1"/>
  <c r="F63" i="6" s="1"/>
  <c r="G63" i="6"/>
  <c r="H63" i="6" s="1"/>
  <c r="F64" i="6" a="1"/>
  <c r="F64" i="6"/>
  <c r="G64" i="6"/>
  <c r="H64" i="6" s="1"/>
  <c r="F65" i="6" a="1"/>
  <c r="F65" i="6" s="1"/>
  <c r="G65" i="6"/>
  <c r="H65" i="6" s="1"/>
  <c r="F66" i="6" a="1"/>
  <c r="F66" i="6" s="1"/>
  <c r="G66" i="6"/>
  <c r="H66" i="6" s="1"/>
  <c r="F67" i="6" a="1"/>
  <c r="F67" i="6"/>
  <c r="G67" i="6"/>
  <c r="H67" i="6" s="1"/>
  <c r="F68" i="6" a="1"/>
  <c r="F68" i="6" s="1"/>
  <c r="G68" i="6"/>
  <c r="H68" i="6" s="1"/>
  <c r="F69" i="6" a="1"/>
  <c r="F69" i="6" s="1"/>
  <c r="G69" i="6"/>
  <c r="H69" i="6" s="1"/>
  <c r="F70" i="6" a="1"/>
  <c r="F70" i="6"/>
  <c r="G70" i="6"/>
  <c r="H70" i="6" s="1"/>
  <c r="F71" i="6" a="1"/>
  <c r="F71" i="6" s="1"/>
  <c r="G71" i="6"/>
  <c r="H71" i="6" s="1"/>
  <c r="F72" i="6" a="1"/>
  <c r="F72" i="6" s="1"/>
  <c r="G72" i="6"/>
  <c r="H72" i="6" s="1"/>
  <c r="F73" i="6" a="1"/>
  <c r="F73" i="6"/>
  <c r="G73" i="6"/>
  <c r="H73" i="6" s="1"/>
  <c r="F74" i="6" a="1"/>
  <c r="F74" i="6" s="1"/>
  <c r="G74" i="6"/>
  <c r="H74" i="6" s="1"/>
  <c r="F75" i="6" a="1"/>
  <c r="F75" i="6" s="1"/>
  <c r="G75" i="6"/>
  <c r="H75" i="6" s="1"/>
  <c r="F76" i="6" a="1"/>
  <c r="F76" i="6"/>
  <c r="G76" i="6"/>
  <c r="H76" i="6" s="1"/>
  <c r="F77" i="6" a="1"/>
  <c r="F77" i="6" s="1"/>
  <c r="G77" i="6"/>
  <c r="H77" i="6" s="1"/>
  <c r="F78" i="6" a="1"/>
  <c r="F78" i="6" s="1"/>
  <c r="G78" i="6"/>
  <c r="H78" i="6" s="1"/>
  <c r="F79" i="6" a="1"/>
  <c r="F79" i="6"/>
  <c r="G79" i="6"/>
  <c r="H79" i="6" s="1"/>
  <c r="F80" i="6" a="1"/>
  <c r="F80" i="6" s="1"/>
  <c r="G80" i="6"/>
  <c r="H80" i="6" s="1"/>
  <c r="F81" i="6" a="1"/>
  <c r="F81" i="6" s="1"/>
  <c r="G81" i="6"/>
  <c r="H81" i="6" s="1"/>
  <c r="F82" i="6" a="1"/>
  <c r="F82" i="6"/>
  <c r="G82" i="6"/>
  <c r="H82" i="6" s="1"/>
  <c r="F83" i="6" a="1"/>
  <c r="F83" i="6" s="1"/>
  <c r="G83" i="6"/>
  <c r="H83" i="6" s="1"/>
  <c r="F84" i="6" a="1"/>
  <c r="F84" i="6" s="1"/>
  <c r="G84" i="6"/>
  <c r="H84" i="6" s="1"/>
  <c r="F85" i="6" a="1"/>
  <c r="F85" i="6"/>
  <c r="G85" i="6"/>
  <c r="H85" i="6" s="1"/>
  <c r="F86" i="6" a="1"/>
  <c r="F86" i="6" s="1"/>
  <c r="G86" i="6"/>
  <c r="H86" i="6" s="1"/>
  <c r="F87" i="6" a="1"/>
  <c r="F87" i="6" s="1"/>
  <c r="G87" i="6"/>
  <c r="H87" i="6" s="1"/>
  <c r="F88" i="6" a="1"/>
  <c r="F88" i="6"/>
  <c r="G88" i="6"/>
  <c r="H88" i="6" s="1"/>
  <c r="F89" i="6" a="1"/>
  <c r="F89" i="6" s="1"/>
  <c r="G89" i="6"/>
  <c r="H89" i="6" s="1"/>
  <c r="F90" i="6" a="1"/>
  <c r="F90" i="6" s="1"/>
  <c r="G90" i="6"/>
  <c r="H90" i="6" s="1"/>
  <c r="F91" i="6" a="1"/>
  <c r="F91" i="6"/>
  <c r="G91" i="6"/>
  <c r="H91" i="6" s="1"/>
  <c r="F92" i="6" a="1"/>
  <c r="F92" i="6" s="1"/>
  <c r="G92" i="6"/>
  <c r="H92" i="6" s="1"/>
  <c r="F93" i="6" a="1"/>
  <c r="F93" i="6" s="1"/>
  <c r="G93" i="6"/>
  <c r="H93" i="6" s="1"/>
  <c r="F94" i="6" a="1"/>
  <c r="F94" i="6"/>
  <c r="G94" i="6"/>
  <c r="H94" i="6" s="1"/>
  <c r="F95" i="6" a="1"/>
  <c r="F95" i="6" s="1"/>
  <c r="G95" i="6"/>
  <c r="H95" i="6" s="1"/>
  <c r="F96" i="6" a="1"/>
  <c r="F96" i="6" s="1"/>
  <c r="G96" i="6"/>
  <c r="H96" i="6" s="1"/>
  <c r="F97" i="6" a="1"/>
  <c r="F97" i="6"/>
  <c r="G97" i="6"/>
  <c r="H97" i="6" s="1"/>
  <c r="F98" i="6" a="1"/>
  <c r="F98" i="6" s="1"/>
  <c r="G98" i="6"/>
  <c r="H98" i="6" s="1"/>
  <c r="F99" i="6" a="1"/>
  <c r="F99" i="6" s="1"/>
  <c r="G99" i="6"/>
  <c r="H99" i="6" s="1"/>
  <c r="F100" i="6" a="1"/>
  <c r="F100" i="6"/>
  <c r="G100" i="6"/>
  <c r="H100" i="6" s="1"/>
  <c r="F101" i="6" a="1"/>
  <c r="F101" i="6" s="1"/>
  <c r="G101" i="6"/>
  <c r="H101" i="6" s="1"/>
  <c r="F102" i="6" a="1"/>
  <c r="F102" i="6" s="1"/>
  <c r="G102" i="6"/>
  <c r="H102" i="6" s="1"/>
  <c r="F103" i="6" a="1"/>
  <c r="F103" i="6"/>
  <c r="G103" i="6"/>
  <c r="H103" i="6" s="1"/>
  <c r="F104" i="6" a="1"/>
  <c r="F104" i="6" s="1"/>
  <c r="G104" i="6"/>
  <c r="H104" i="6" s="1"/>
  <c r="F105" i="6" a="1"/>
  <c r="F105" i="6" s="1"/>
  <c r="G105" i="6"/>
  <c r="H105" i="6" s="1"/>
  <c r="F106" i="6" a="1"/>
  <c r="F106" i="6"/>
  <c r="G106" i="6"/>
  <c r="H106" i="6" s="1"/>
  <c r="F107" i="6" a="1"/>
  <c r="F107" i="6" s="1"/>
  <c r="G107" i="6"/>
  <c r="H107" i="6" s="1"/>
  <c r="F108" i="6" a="1"/>
  <c r="F108" i="6" s="1"/>
  <c r="G108" i="6"/>
  <c r="H108" i="6" s="1"/>
  <c r="F109" i="6" a="1"/>
  <c r="F109" i="6"/>
  <c r="G109" i="6"/>
  <c r="H109" i="6" s="1"/>
  <c r="F110" i="6" a="1"/>
  <c r="F110" i="6" s="1"/>
  <c r="G110" i="6"/>
  <c r="H110" i="6" s="1"/>
  <c r="F111" i="6" a="1"/>
  <c r="F111" i="6" s="1"/>
  <c r="G111" i="6"/>
  <c r="H111" i="6" s="1"/>
  <c r="F112" i="6" a="1"/>
  <c r="F112" i="6"/>
  <c r="G112" i="6"/>
  <c r="H112" i="6" s="1"/>
  <c r="F113" i="6" a="1"/>
  <c r="F113" i="6" s="1"/>
  <c r="G113" i="6"/>
  <c r="H113" i="6" s="1"/>
  <c r="F114" i="6" a="1"/>
  <c r="F114" i="6" s="1"/>
  <c r="G114" i="6"/>
  <c r="H114" i="6" s="1"/>
  <c r="F115" i="6" a="1"/>
  <c r="F115" i="6"/>
  <c r="G115" i="6"/>
  <c r="H115" i="6" s="1"/>
  <c r="F116" i="6" a="1"/>
  <c r="F116" i="6" s="1"/>
  <c r="G116" i="6"/>
  <c r="H116" i="6" s="1"/>
  <c r="F117" i="6" a="1"/>
  <c r="F117" i="6" s="1"/>
  <c r="G117" i="6"/>
  <c r="H117" i="6" s="1"/>
  <c r="F118" i="6" a="1"/>
  <c r="F118" i="6"/>
  <c r="G118" i="6"/>
  <c r="H118" i="6" s="1"/>
  <c r="F119" i="6" a="1"/>
  <c r="F119" i="6" s="1"/>
  <c r="G119" i="6"/>
  <c r="H119" i="6" s="1"/>
  <c r="F120" i="6" a="1"/>
  <c r="F120" i="6" s="1"/>
  <c r="G120" i="6"/>
  <c r="H120" i="6" s="1"/>
  <c r="F121" i="6" a="1"/>
  <c r="F121" i="6"/>
  <c r="G121" i="6"/>
  <c r="H121" i="6" s="1"/>
  <c r="F122" i="6" a="1"/>
  <c r="F122" i="6" s="1"/>
  <c r="G122" i="6"/>
  <c r="H122" i="6" s="1"/>
  <c r="F123" i="6" a="1"/>
  <c r="F123" i="6" s="1"/>
  <c r="G123" i="6"/>
  <c r="H123" i="6" s="1"/>
  <c r="F124" i="6" a="1"/>
  <c r="F124" i="6"/>
  <c r="G124" i="6"/>
  <c r="H124" i="6" s="1"/>
  <c r="F125" i="6" a="1"/>
  <c r="F125" i="6" s="1"/>
  <c r="G125" i="6"/>
  <c r="H125" i="6" s="1"/>
  <c r="F126" i="6" a="1"/>
  <c r="F126" i="6" s="1"/>
  <c r="G126" i="6"/>
  <c r="H126" i="6" s="1"/>
  <c r="F127" i="6" a="1"/>
  <c r="F127" i="6"/>
  <c r="G127" i="6"/>
  <c r="H127" i="6" s="1"/>
  <c r="F128" i="6" a="1"/>
  <c r="F128" i="6" s="1"/>
  <c r="G128" i="6"/>
  <c r="H128" i="6" s="1"/>
  <c r="F129" i="6" a="1"/>
  <c r="F129" i="6" s="1"/>
  <c r="G129" i="6"/>
  <c r="H129" i="6" s="1"/>
  <c r="F130" i="6" a="1"/>
  <c r="F130" i="6"/>
  <c r="G130" i="6"/>
  <c r="H130" i="6" s="1"/>
  <c r="F131" i="6" a="1"/>
  <c r="F131" i="6" s="1"/>
  <c r="G131" i="6"/>
  <c r="H131" i="6" s="1"/>
  <c r="F132" i="6" a="1"/>
  <c r="F132" i="6" s="1"/>
  <c r="G132" i="6"/>
  <c r="H132" i="6" s="1"/>
  <c r="F133" i="6" a="1"/>
  <c r="F133" i="6"/>
  <c r="G133" i="6"/>
  <c r="H133" i="6" s="1"/>
  <c r="F134" i="6" a="1"/>
  <c r="F134" i="6" s="1"/>
  <c r="G134" i="6"/>
  <c r="H134" i="6" s="1"/>
  <c r="F135" i="6" a="1"/>
  <c r="F135" i="6" s="1"/>
  <c r="G135" i="6"/>
  <c r="H135" i="6" s="1"/>
  <c r="F136" i="6" a="1"/>
  <c r="F136" i="6"/>
  <c r="G136" i="6"/>
  <c r="H136" i="6" s="1"/>
  <c r="F137" i="6" a="1"/>
  <c r="F137" i="6" s="1"/>
  <c r="G137" i="6"/>
  <c r="H137" i="6" s="1"/>
  <c r="F138" i="6" a="1"/>
  <c r="F138" i="6" s="1"/>
  <c r="G138" i="6"/>
  <c r="H138" i="6" s="1"/>
  <c r="F139" i="6" a="1"/>
  <c r="F139" i="6"/>
  <c r="G139" i="6"/>
  <c r="H139" i="6" s="1"/>
  <c r="F140" i="6" a="1"/>
  <c r="F140" i="6" s="1"/>
  <c r="G140" i="6"/>
  <c r="H140" i="6" s="1"/>
  <c r="F141" i="6" a="1"/>
  <c r="F141" i="6" s="1"/>
  <c r="G141" i="6"/>
  <c r="H141" i="6" s="1"/>
  <c r="F142" i="6" a="1"/>
  <c r="F142" i="6"/>
  <c r="G142" i="6"/>
  <c r="H142" i="6" s="1"/>
  <c r="F143" i="6" a="1"/>
  <c r="F143" i="6" s="1"/>
  <c r="G143" i="6"/>
  <c r="H143" i="6" s="1"/>
  <c r="F144" i="6" a="1"/>
  <c r="F144" i="6" s="1"/>
  <c r="G144" i="6"/>
  <c r="H144" i="6" s="1"/>
  <c r="F145" i="6" a="1"/>
  <c r="F145" i="6"/>
  <c r="G145" i="6"/>
  <c r="H145" i="6" s="1"/>
  <c r="F146" i="6" a="1"/>
  <c r="F146" i="6" s="1"/>
  <c r="G146" i="6"/>
  <c r="H146" i="6" s="1"/>
  <c r="F147" i="6" a="1"/>
  <c r="F147" i="6" s="1"/>
  <c r="G147" i="6"/>
  <c r="H147" i="6" s="1"/>
  <c r="F148" i="6" a="1"/>
  <c r="F148" i="6"/>
  <c r="G148" i="6"/>
  <c r="H148" i="6" s="1"/>
  <c r="F149" i="6" a="1"/>
  <c r="F149" i="6" s="1"/>
  <c r="G149" i="6"/>
  <c r="H149" i="6" s="1"/>
  <c r="F150" i="6" a="1"/>
  <c r="F150" i="6" s="1"/>
  <c r="G150" i="6"/>
  <c r="H150" i="6" s="1"/>
  <c r="F151" i="6" a="1"/>
  <c r="F151" i="6"/>
  <c r="G151" i="6"/>
  <c r="H151" i="6" s="1"/>
  <c r="F152" i="6" a="1"/>
  <c r="F152" i="6" s="1"/>
  <c r="G152" i="6"/>
  <c r="H152" i="6" s="1"/>
  <c r="F153" i="6" a="1"/>
  <c r="F153" i="6" s="1"/>
  <c r="G153" i="6"/>
  <c r="H153" i="6" s="1"/>
  <c r="F154" i="6" a="1"/>
  <c r="F154" i="6"/>
  <c r="G154" i="6"/>
  <c r="H154" i="6" s="1"/>
  <c r="F155" i="6" a="1"/>
  <c r="F155" i="6" s="1"/>
  <c r="G155" i="6"/>
  <c r="H155" i="6" s="1"/>
  <c r="F156" i="6" a="1"/>
  <c r="F156" i="6" s="1"/>
  <c r="G156" i="6"/>
  <c r="H156" i="6" s="1"/>
  <c r="F157" i="6" a="1"/>
  <c r="F157" i="6"/>
  <c r="G157" i="6"/>
  <c r="H157" i="6" s="1"/>
  <c r="F158" i="6" a="1"/>
  <c r="F158" i="6" s="1"/>
  <c r="G158" i="6"/>
  <c r="H158" i="6" s="1"/>
  <c r="F159" i="6" a="1"/>
  <c r="F159" i="6" s="1"/>
  <c r="G159" i="6"/>
  <c r="H159" i="6" s="1"/>
  <c r="F160" i="6" a="1"/>
  <c r="F160" i="6"/>
  <c r="G160" i="6"/>
  <c r="H160" i="6" s="1"/>
  <c r="F161" i="6" a="1"/>
  <c r="F161" i="6" s="1"/>
  <c r="G161" i="6"/>
  <c r="H161" i="6" s="1"/>
  <c r="F162" i="6" a="1"/>
  <c r="F162" i="6" s="1"/>
  <c r="G162" i="6"/>
  <c r="H162" i="6" s="1"/>
  <c r="F163" i="6" a="1"/>
  <c r="F163" i="6"/>
  <c r="G163" i="6"/>
  <c r="H163" i="6" s="1"/>
  <c r="F164" i="6" a="1"/>
  <c r="F164" i="6" s="1"/>
  <c r="G164" i="6"/>
  <c r="H164" i="6" s="1"/>
  <c r="F165" i="6" a="1"/>
  <c r="F165" i="6" s="1"/>
  <c r="G165" i="6"/>
  <c r="H165" i="6" s="1"/>
  <c r="F166" i="6" a="1"/>
  <c r="F166" i="6"/>
  <c r="G166" i="6"/>
  <c r="H166" i="6" s="1"/>
  <c r="F167" i="6" a="1"/>
  <c r="F167" i="6" s="1"/>
  <c r="G167" i="6"/>
  <c r="H167" i="6" s="1"/>
  <c r="F168" i="6" a="1"/>
  <c r="F168" i="6" s="1"/>
  <c r="G168" i="6"/>
  <c r="H168" i="6" s="1"/>
  <c r="F169" i="6" a="1"/>
  <c r="F169" i="6"/>
  <c r="G169" i="6"/>
  <c r="H169" i="6" s="1"/>
  <c r="F170" i="6" a="1"/>
  <c r="F170" i="6" s="1"/>
  <c r="G170" i="6"/>
  <c r="H170" i="6" s="1"/>
  <c r="F171" i="6" a="1"/>
  <c r="F171" i="6" s="1"/>
  <c r="G171" i="6"/>
  <c r="H171" i="6" s="1"/>
  <c r="F172" i="6" a="1"/>
  <c r="F172" i="6"/>
  <c r="G172" i="6"/>
  <c r="H172" i="6" s="1"/>
  <c r="F173" i="6" a="1"/>
  <c r="F173" i="6" s="1"/>
  <c r="G173" i="6"/>
  <c r="H173" i="6" s="1"/>
  <c r="F174" i="6" a="1"/>
  <c r="F174" i="6" s="1"/>
  <c r="G174" i="6"/>
  <c r="H174" i="6" s="1"/>
  <c r="F175" i="6" a="1"/>
  <c r="F175" i="6"/>
  <c r="G175" i="6"/>
  <c r="H175" i="6" s="1"/>
  <c r="F176" i="6" a="1"/>
  <c r="F176" i="6" s="1"/>
  <c r="G176" i="6"/>
  <c r="H176" i="6" s="1"/>
  <c r="F177" i="6" a="1"/>
  <c r="F177" i="6" s="1"/>
  <c r="G177" i="6"/>
  <c r="H177" i="6" s="1"/>
  <c r="F178" i="6" a="1"/>
  <c r="F178" i="6"/>
  <c r="G178" i="6"/>
  <c r="H178" i="6" s="1"/>
  <c r="F179" i="6" a="1"/>
  <c r="F179" i="6" s="1"/>
  <c r="G179" i="6"/>
  <c r="H179" i="6" s="1"/>
  <c r="F180" i="6" a="1"/>
  <c r="F180" i="6" s="1"/>
  <c r="G180" i="6"/>
  <c r="H180" i="6" s="1"/>
  <c r="F181" i="6" a="1"/>
  <c r="F181" i="6"/>
  <c r="G181" i="6"/>
  <c r="H181" i="6" s="1"/>
  <c r="F182" i="6" a="1"/>
  <c r="F182" i="6" s="1"/>
  <c r="G182" i="6"/>
  <c r="H182" i="6" s="1"/>
  <c r="F183" i="6" a="1"/>
  <c r="F183" i="6" s="1"/>
  <c r="G183" i="6"/>
  <c r="H183" i="6" s="1"/>
  <c r="F184" i="6" a="1"/>
  <c r="F184" i="6"/>
  <c r="G184" i="6"/>
  <c r="H184" i="6" s="1"/>
  <c r="F185" i="6" a="1"/>
  <c r="F185" i="6" s="1"/>
  <c r="G185" i="6"/>
  <c r="H185" i="6" s="1"/>
  <c r="F186" i="6" a="1"/>
  <c r="F186" i="6" s="1"/>
  <c r="G186" i="6"/>
  <c r="H186" i="6" s="1"/>
  <c r="F187" i="6" a="1"/>
  <c r="F187" i="6"/>
  <c r="G187" i="6"/>
  <c r="H187" i="6" s="1"/>
  <c r="F188" i="6" a="1"/>
  <c r="F188" i="6" s="1"/>
  <c r="G188" i="6"/>
  <c r="H188" i="6" s="1"/>
  <c r="F189" i="6" a="1"/>
  <c r="F189" i="6" s="1"/>
  <c r="G189" i="6"/>
  <c r="H189" i="6" s="1"/>
  <c r="F190" i="6" a="1"/>
  <c r="F190" i="6"/>
  <c r="G190" i="6"/>
  <c r="H190" i="6" s="1"/>
  <c r="F191" i="6" a="1"/>
  <c r="F191" i="6" s="1"/>
  <c r="G191" i="6"/>
  <c r="H191" i="6" s="1"/>
  <c r="F192" i="6" a="1"/>
  <c r="F192" i="6" s="1"/>
  <c r="G192" i="6"/>
  <c r="H192" i="6" s="1"/>
  <c r="F193" i="6" a="1"/>
  <c r="F193" i="6"/>
  <c r="G193" i="6"/>
  <c r="H193" i="6" s="1"/>
  <c r="F194" i="6" a="1"/>
  <c r="F194" i="6" s="1"/>
  <c r="G194" i="6"/>
  <c r="H194" i="6" s="1"/>
  <c r="F195" i="6" a="1"/>
  <c r="F195" i="6" s="1"/>
  <c r="G195" i="6"/>
  <c r="H195" i="6" s="1"/>
  <c r="F196" i="6" a="1"/>
  <c r="F196" i="6"/>
  <c r="G196" i="6"/>
  <c r="H196" i="6" s="1"/>
  <c r="F197" i="6" a="1"/>
  <c r="F197" i="6" s="1"/>
  <c r="G197" i="6"/>
  <c r="H197" i="6" s="1"/>
  <c r="F198" i="6" a="1"/>
  <c r="F198" i="6" s="1"/>
  <c r="G198" i="6"/>
  <c r="H198" i="6" s="1"/>
  <c r="F199" i="6" a="1"/>
  <c r="F199" i="6"/>
  <c r="G199" i="6"/>
  <c r="H199" i="6" s="1"/>
  <c r="F200" i="6" a="1"/>
  <c r="F200" i="6" s="1"/>
  <c r="G200" i="6"/>
  <c r="H200" i="6" s="1"/>
  <c r="F201" i="6" a="1"/>
  <c r="F201" i="6" s="1"/>
  <c r="G201" i="6"/>
  <c r="H201" i="6" s="1"/>
  <c r="H2" i="5" a="1"/>
  <c r="H2" i="5" s="1"/>
  <c r="I2" i="5"/>
  <c r="M2" i="5"/>
  <c r="H3" i="5" a="1"/>
  <c r="H3" i="5" s="1"/>
  <c r="J3" i="5" s="1"/>
  <c r="I3" i="5"/>
  <c r="H4" i="5" a="1"/>
  <c r="H4" i="5" s="1"/>
  <c r="J4" i="5" s="1"/>
  <c r="I4" i="5"/>
  <c r="H5" i="5" a="1"/>
  <c r="H5" i="5" s="1"/>
  <c r="J5" i="5" s="1"/>
  <c r="I5" i="5"/>
  <c r="H6" i="5" a="1"/>
  <c r="H6" i="5" s="1"/>
  <c r="J6" i="5" s="1"/>
  <c r="I6" i="5"/>
  <c r="H7" i="5" a="1"/>
  <c r="H7" i="5" s="1"/>
  <c r="J7" i="5" s="1"/>
  <c r="I7" i="5"/>
  <c r="H8" i="5" a="1"/>
  <c r="H8" i="5" s="1"/>
  <c r="J8" i="5" s="1"/>
  <c r="I8" i="5"/>
  <c r="H9" i="5" a="1"/>
  <c r="H9" i="5" s="1"/>
  <c r="J9" i="5" s="1"/>
  <c r="I9" i="5"/>
  <c r="H10" i="5" a="1"/>
  <c r="H10" i="5" s="1"/>
  <c r="J10" i="5" s="1"/>
  <c r="I10" i="5"/>
  <c r="H11" i="5" a="1"/>
  <c r="H11" i="5" s="1"/>
  <c r="J11" i="5" s="1"/>
  <c r="I11" i="5"/>
  <c r="H12" i="5" a="1"/>
  <c r="H12" i="5" s="1"/>
  <c r="J12" i="5" s="1"/>
  <c r="I12" i="5"/>
  <c r="H13" i="5" a="1"/>
  <c r="H13" i="5" s="1"/>
  <c r="J13" i="5" s="1"/>
  <c r="I13" i="5"/>
  <c r="H14" i="5" a="1"/>
  <c r="H14" i="5" s="1"/>
  <c r="J14" i="5" s="1"/>
  <c r="I14" i="5"/>
  <c r="H15" i="5" a="1"/>
  <c r="H15" i="5" s="1"/>
  <c r="J15" i="5" s="1"/>
  <c r="I15" i="5"/>
  <c r="H16" i="5" a="1"/>
  <c r="H16" i="5" s="1"/>
  <c r="J16" i="5" s="1"/>
  <c r="I16" i="5"/>
  <c r="H17" i="5" a="1"/>
  <c r="H17" i="5" s="1"/>
  <c r="J17" i="5" s="1"/>
  <c r="I17" i="5"/>
  <c r="H18" i="5" a="1"/>
  <c r="H18" i="5" s="1"/>
  <c r="J18" i="5" s="1"/>
  <c r="I18" i="5"/>
  <c r="H19" i="5" a="1"/>
  <c r="H19" i="5" s="1"/>
  <c r="J19" i="5" s="1"/>
  <c r="I19" i="5"/>
  <c r="H20" i="5" a="1"/>
  <c r="H20" i="5" s="1"/>
  <c r="J20" i="5" s="1"/>
  <c r="I20" i="5"/>
  <c r="H21" i="5" a="1"/>
  <c r="H21" i="5" s="1"/>
  <c r="J21" i="5" s="1"/>
  <c r="I21" i="5"/>
  <c r="H22" i="5" a="1"/>
  <c r="H22" i="5" s="1"/>
  <c r="J22" i="5" s="1"/>
  <c r="I22" i="5"/>
  <c r="H23" i="5" a="1"/>
  <c r="H23" i="5" s="1"/>
  <c r="J23" i="5" s="1"/>
  <c r="I23" i="5"/>
  <c r="H24" i="5" a="1"/>
  <c r="H24" i="5" s="1"/>
  <c r="J24" i="5" s="1"/>
  <c r="I24" i="5"/>
  <c r="H25" i="5" a="1"/>
  <c r="H25" i="5" s="1"/>
  <c r="J25" i="5" s="1"/>
  <c r="I25" i="5"/>
  <c r="H26" i="5" a="1"/>
  <c r="H26" i="5" s="1"/>
  <c r="J26" i="5" s="1"/>
  <c r="I26" i="5"/>
  <c r="H27" i="5" a="1"/>
  <c r="H27" i="5" s="1"/>
  <c r="J27" i="5" s="1"/>
  <c r="I27" i="5"/>
  <c r="H28" i="5" a="1"/>
  <c r="H28" i="5" s="1"/>
  <c r="J28" i="5" s="1"/>
  <c r="I28" i="5"/>
  <c r="H29" i="5" a="1"/>
  <c r="H29" i="5" s="1"/>
  <c r="J29" i="5" s="1"/>
  <c r="I29" i="5"/>
  <c r="H30" i="5" a="1"/>
  <c r="H30" i="5" s="1"/>
  <c r="J30" i="5" s="1"/>
  <c r="I30" i="5"/>
  <c r="H31" i="5" a="1"/>
  <c r="H31" i="5" s="1"/>
  <c r="J31" i="5" s="1"/>
  <c r="I31" i="5"/>
  <c r="H32" i="5" a="1"/>
  <c r="H32" i="5" s="1"/>
  <c r="J32" i="5" s="1"/>
  <c r="I32" i="5"/>
  <c r="H33" i="5" a="1"/>
  <c r="H33" i="5" s="1"/>
  <c r="J33" i="5" s="1"/>
  <c r="I33" i="5"/>
  <c r="H34" i="5" a="1"/>
  <c r="H34" i="5" s="1"/>
  <c r="J34" i="5" s="1"/>
  <c r="I34" i="5"/>
  <c r="H35" i="5" a="1"/>
  <c r="H35" i="5" s="1"/>
  <c r="J35" i="5" s="1"/>
  <c r="I35" i="5"/>
  <c r="H36" i="5" a="1"/>
  <c r="H36" i="5" s="1"/>
  <c r="J36" i="5" s="1"/>
  <c r="I36" i="5"/>
  <c r="H37" i="5" a="1"/>
  <c r="H37" i="5" s="1"/>
  <c r="J37" i="5" s="1"/>
  <c r="I37" i="5"/>
  <c r="H38" i="5" a="1"/>
  <c r="H38" i="5" s="1"/>
  <c r="J38" i="5" s="1"/>
  <c r="I38" i="5"/>
  <c r="H39" i="5" a="1"/>
  <c r="H39" i="5" s="1"/>
  <c r="J39" i="5" s="1"/>
  <c r="I39" i="5"/>
  <c r="H40" i="5" a="1"/>
  <c r="H40" i="5" s="1"/>
  <c r="J40" i="5" s="1"/>
  <c r="I40" i="5"/>
  <c r="H41" i="5" a="1"/>
  <c r="H41" i="5" s="1"/>
  <c r="J41" i="5" s="1"/>
  <c r="I41" i="5"/>
  <c r="F2" i="4"/>
  <c r="G2" i="4"/>
  <c r="H2" i="4"/>
  <c r="F3" i="4"/>
  <c r="G3" i="4"/>
  <c r="H3" i="4"/>
  <c r="F4" i="4"/>
  <c r="G4" i="4"/>
  <c r="H4" i="4"/>
  <c r="F5" i="4"/>
  <c r="G5" i="4"/>
  <c r="H5" i="4"/>
  <c r="F6" i="4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B3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  <c r="C2" i="1"/>
  <c r="C3" i="1"/>
  <c r="C4" i="1"/>
  <c r="C5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<sst xmlns="http://schemas.openxmlformats.org/spreadsheetml/2006/main" count="1140" uniqueCount="484">
  <si>
    <t>Laptop</t>
  </si>
  <si>
    <t>Mouse</t>
  </si>
  <si>
    <t>Keyboard</t>
  </si>
  <si>
    <t>Monitor</t>
  </si>
  <si>
    <t>Headphones</t>
  </si>
  <si>
    <t>Column1</t>
  </si>
  <si>
    <t>Product</t>
  </si>
  <si>
    <t>Price</t>
  </si>
  <si>
    <t>Rep Name</t>
  </si>
  <si>
    <t>Sale Amount</t>
  </si>
  <si>
    <t>Region</t>
  </si>
  <si>
    <t>Ahmed Hassan</t>
  </si>
  <si>
    <t>North</t>
  </si>
  <si>
    <t>Sara Ali</t>
  </si>
  <si>
    <t>South</t>
  </si>
  <si>
    <t>Mohamed Adel</t>
  </si>
  <si>
    <t>East</t>
  </si>
  <si>
    <t>Nour Khaled</t>
  </si>
  <si>
    <t>West</t>
  </si>
  <si>
    <t>Omar Samir</t>
  </si>
  <si>
    <t>Mariam Tarek</t>
  </si>
  <si>
    <t>Youssef Emad</t>
  </si>
  <si>
    <t>Laila Mostafa</t>
  </si>
  <si>
    <t>Karim Nabil</t>
  </si>
  <si>
    <t>Hana Wael</t>
  </si>
  <si>
    <t>Mahmoud Fathy</t>
  </si>
  <si>
    <t>Salma Ashraf</t>
  </si>
  <si>
    <t>Ali Hossam</t>
  </si>
  <si>
    <t>Dina Magdy</t>
  </si>
  <si>
    <t>Mostafa Rami</t>
  </si>
  <si>
    <t>Farah Amr</t>
  </si>
  <si>
    <t>Hassan Reda</t>
  </si>
  <si>
    <t>Aya Sherif</t>
  </si>
  <si>
    <t>Ibrahim Sameh</t>
  </si>
  <si>
    <t>Reem Osama</t>
  </si>
  <si>
    <t>Tamer Salah</t>
  </si>
  <si>
    <t>Nada Essam</t>
  </si>
  <si>
    <t>Khaled Ayman</t>
  </si>
  <si>
    <t>Yara Gamal</t>
  </si>
  <si>
    <t>Amr Hesham</t>
  </si>
  <si>
    <t>Menna Alaa</t>
  </si>
  <si>
    <t>Sherif Ehab</t>
  </si>
  <si>
    <t>Rana Ziad</t>
  </si>
  <si>
    <t>Adel Hamdy</t>
  </si>
  <si>
    <t>Mai Anwar</t>
  </si>
  <si>
    <t>Flag</t>
  </si>
  <si>
    <t>Order ID</t>
  </si>
  <si>
    <t>Rep</t>
  </si>
  <si>
    <t>Revenue</t>
  </si>
  <si>
    <t>Date</t>
  </si>
  <si>
    <t>Rounded Revenue</t>
  </si>
  <si>
    <t>Formatted Date</t>
  </si>
  <si>
    <t>Status</t>
  </si>
  <si>
    <t>ORD-001</t>
  </si>
  <si>
    <t>Alexandria</t>
  </si>
  <si>
    <t>Sara</t>
  </si>
  <si>
    <t>ORD-002</t>
  </si>
  <si>
    <t>Giza</t>
  </si>
  <si>
    <t>Omar</t>
  </si>
  <si>
    <t>ORD-003</t>
  </si>
  <si>
    <t>Mansoura</t>
  </si>
  <si>
    <t>Nour</t>
  </si>
  <si>
    <t>ORD-004</t>
  </si>
  <si>
    <t>Cairo</t>
  </si>
  <si>
    <t>Youssef</t>
  </si>
  <si>
    <t>ORD-005</t>
  </si>
  <si>
    <t>Ahmed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</si>
  <si>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</si>
  <si>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</si>
  <si>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</si>
  <si>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</si>
  <si>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</si>
  <si>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</si>
  <si>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</si>
  <si>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</si>
  <si>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</si>
  <si>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</si>
  <si>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</si>
  <si>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</si>
  <si>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</si>
  <si>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</si>
  <si>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</si>
  <si>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</si>
  <si>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</si>
  <si>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</si>
  <si>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</si>
  <si>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</si>
  <si>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</si>
  <si>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</si>
  <si>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</si>
  <si>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</si>
  <si>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</si>
  <si>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Cairo Orders</t>
  </si>
  <si>
    <t>Student ID</t>
  </si>
  <si>
    <t>Name</t>
  </si>
  <si>
    <t>Math</t>
  </si>
  <si>
    <t>English</t>
  </si>
  <si>
    <t>Science</t>
  </si>
  <si>
    <t>History</t>
  </si>
  <si>
    <t>Computer</t>
  </si>
  <si>
    <t>Math Grade</t>
  </si>
  <si>
    <t>Average</t>
  </si>
  <si>
    <t>Summary</t>
  </si>
  <si>
    <t>Search ID</t>
  </si>
  <si>
    <t>Math Score</t>
  </si>
  <si>
    <t>STU-001</t>
  </si>
  <si>
    <t>Ali Hassan</t>
  </si>
  <si>
    <t>STU-015</t>
  </si>
  <si>
    <t>STU-002</t>
  </si>
  <si>
    <t>Mona Adel</t>
  </si>
  <si>
    <t>STU-003</t>
  </si>
  <si>
    <t>Karim Samir</t>
  </si>
  <si>
    <t>STU-004</t>
  </si>
  <si>
    <t>STU-005</t>
  </si>
  <si>
    <t>Omar Nabil</t>
  </si>
  <si>
    <t>STU-006</t>
  </si>
  <si>
    <t>Sara Ahmed</t>
  </si>
  <si>
    <t>STU-007</t>
  </si>
  <si>
    <t>Youssef Tarek</t>
  </si>
  <si>
    <t>STU-008</t>
  </si>
  <si>
    <t>STU-009</t>
  </si>
  <si>
    <t>STU-010</t>
  </si>
  <si>
    <t>STU-011</t>
  </si>
  <si>
    <t>STU-012</t>
  </si>
  <si>
    <t>STU-013</t>
  </si>
  <si>
    <t>STU-014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</si>
  <si>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</si>
  <si>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</si>
  <si>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</si>
  <si>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</si>
  <si>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</si>
  <si>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</si>
  <si>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</si>
  <si>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</si>
  <si>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</si>
  <si>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</si>
  <si>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</si>
  <si>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</si>
  <si>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</si>
  <si>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</si>
  <si>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</si>
  <si>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</si>
  <si>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</si>
  <si>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</si>
  <si>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</si>
  <si>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</si>
  <si>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</si>
  <si>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</si>
  <si>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</si>
  <si>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</si>
  <si>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</si>
  <si>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Customer ID</t>
  </si>
  <si>
    <t>City</t>
  </si>
  <si>
    <t>Total Spend</t>
  </si>
  <si>
    <t>Last Purchase Date</t>
  </si>
  <si>
    <t>Tier</t>
  </si>
  <si>
    <t>Days Since Purchase</t>
  </si>
  <si>
    <t>CUS-0001</t>
  </si>
  <si>
    <t>Ahmed Ali</t>
  </si>
  <si>
    <t>CUS-0100</t>
  </si>
  <si>
    <t>CUS-0002</t>
  </si>
  <si>
    <t>Mona Hassan</t>
  </si>
  <si>
    <t>CUS-0003</t>
  </si>
  <si>
    <t>CUS-0004</t>
  </si>
  <si>
    <t>Nour Adel</t>
  </si>
  <si>
    <t>Tanta</t>
  </si>
  <si>
    <t>CUS-0005</t>
  </si>
  <si>
    <t>CUS-0006</t>
  </si>
  <si>
    <t>Sara Tarek</t>
  </si>
  <si>
    <t>CUS-0007</t>
  </si>
  <si>
    <t>Youssef Mostafa</t>
  </si>
  <si>
    <t>CUS-0008</t>
  </si>
  <si>
    <t>Laila Khaled</t>
  </si>
  <si>
    <t>CUS-0009</t>
  </si>
  <si>
    <t>CUS-0010</t>
  </si>
  <si>
    <t>CUS-0011</t>
  </si>
  <si>
    <t>CUS-0012</t>
  </si>
  <si>
    <t>CUS-0013</t>
  </si>
  <si>
    <t>CUS-0014</t>
  </si>
  <si>
    <t>CUS-0015</t>
  </si>
  <si>
    <t>CUS-0016</t>
  </si>
  <si>
    <t>CUS-0017</t>
  </si>
  <si>
    <t>CUS-0018</t>
  </si>
  <si>
    <t>CUS-0019</t>
  </si>
  <si>
    <t>CUS-0020</t>
  </si>
  <si>
    <t>CUS-0021</t>
  </si>
  <si>
    <t>CUS-0022</t>
  </si>
  <si>
    <t>CUS-0023</t>
  </si>
  <si>
    <t>CUS-0024</t>
  </si>
  <si>
    <t>CUS-0025</t>
  </si>
  <si>
    <t>CUS-0026</t>
  </si>
  <si>
    <t>CUS-0027</t>
  </si>
  <si>
    <t>CUS-0028</t>
  </si>
  <si>
    <t>CUS-0029</t>
  </si>
  <si>
    <t>CUS-0030</t>
  </si>
  <si>
    <t>CUS-0031</t>
  </si>
  <si>
    <t>CUS-0032</t>
  </si>
  <si>
    <t>CUS-0033</t>
  </si>
  <si>
    <t>CUS-0034</t>
  </si>
  <si>
    <t>CUS-0035</t>
  </si>
  <si>
    <t>CUS-0036</t>
  </si>
  <si>
    <t>CUS-0037</t>
  </si>
  <si>
    <t>CUS-0038</t>
  </si>
  <si>
    <t>CUS-0039</t>
  </si>
  <si>
    <t>CUS-0040</t>
  </si>
  <si>
    <t>CUS-0041</t>
  </si>
  <si>
    <t>CUS-0042</t>
  </si>
  <si>
    <t>CUS-0043</t>
  </si>
  <si>
    <t>CUS-0044</t>
  </si>
  <si>
    <t>CUS-0045</t>
  </si>
  <si>
    <t>CUS-0046</t>
  </si>
  <si>
    <t>CUS-0047</t>
  </si>
  <si>
    <t>CUS-0048</t>
  </si>
  <si>
    <t>CUS-0049</t>
  </si>
  <si>
    <t>CUS-0050</t>
  </si>
  <si>
    <t>CUS-0051</t>
  </si>
  <si>
    <t>CUS-0052</t>
  </si>
  <si>
    <t>CUS-0053</t>
  </si>
  <si>
    <t>CUS-0054</t>
  </si>
  <si>
    <t>CUS-0055</t>
  </si>
  <si>
    <t>CUS-0056</t>
  </si>
  <si>
    <t>CUS-0057</t>
  </si>
  <si>
    <t>CUS-0058</t>
  </si>
  <si>
    <t>CUS-0059</t>
  </si>
  <si>
    <t>CUS-0060</t>
  </si>
  <si>
    <t>CUS-0061</t>
  </si>
  <si>
    <t>CUS-0062</t>
  </si>
  <si>
    <t>CUS-0063</t>
  </si>
  <si>
    <t>CUS-0064</t>
  </si>
  <si>
    <t>CUS-0065</t>
  </si>
  <si>
    <t>CUS-0066</t>
  </si>
  <si>
    <t>CUS-0067</t>
  </si>
  <si>
    <t>CUS-0068</t>
  </si>
  <si>
    <t>CUS-0069</t>
  </si>
  <si>
    <t>CUS-0070</t>
  </si>
  <si>
    <t>CUS-0071</t>
  </si>
  <si>
    <t>CUS-0072</t>
  </si>
  <si>
    <t>CUS-0073</t>
  </si>
  <si>
    <t>CUS-0074</t>
  </si>
  <si>
    <t>CUS-0075</t>
  </si>
  <si>
    <t>CUS-0076</t>
  </si>
  <si>
    <t>CUS-0077</t>
  </si>
  <si>
    <t>CUS-0078</t>
  </si>
  <si>
    <t>CUS-0079</t>
  </si>
  <si>
    <t>CUS-0080</t>
  </si>
  <si>
    <t>CUS-0081</t>
  </si>
  <si>
    <t>CUS-0082</t>
  </si>
  <si>
    <t>CUS-0083</t>
  </si>
  <si>
    <t>CUS-0084</t>
  </si>
  <si>
    <t>CUS-0085</t>
  </si>
  <si>
    <t>CUS-0086</t>
  </si>
  <si>
    <t>CUS-0087</t>
  </si>
  <si>
    <t>CUS-0088</t>
  </si>
  <si>
    <t>CUS-0089</t>
  </si>
  <si>
    <t>CUS-0090</t>
  </si>
  <si>
    <t>CUS-0091</t>
  </si>
  <si>
    <t>CUS-0092</t>
  </si>
  <si>
    <t>CUS-0093</t>
  </si>
  <si>
    <t>CUS-0094</t>
  </si>
  <si>
    <t>CUS-0095</t>
  </si>
  <si>
    <t>CUS-0096</t>
  </si>
  <si>
    <t>CUS-0097</t>
  </si>
  <si>
    <t>CUS-0098</t>
  </si>
  <si>
    <t>CUS-0099</t>
  </si>
  <si>
    <t>CUS-0101</t>
  </si>
  <si>
    <t>CUS-0102</t>
  </si>
  <si>
    <t>CUS-0103</t>
  </si>
  <si>
    <t>CUS-0104</t>
  </si>
  <si>
    <t>CUS-0105</t>
  </si>
  <si>
    <t>CUS-0106</t>
  </si>
  <si>
    <t>CUS-0107</t>
  </si>
  <si>
    <t>CUS-0108</t>
  </si>
  <si>
    <t>CUS-0109</t>
  </si>
  <si>
    <t>CUS-0110</t>
  </si>
  <si>
    <t>CUS-0111</t>
  </si>
  <si>
    <t>CUS-0112</t>
  </si>
  <si>
    <t>CUS-0113</t>
  </si>
  <si>
    <t>CUS-0114</t>
  </si>
  <si>
    <t>CUS-0115</t>
  </si>
  <si>
    <t>CUS-0116</t>
  </si>
  <si>
    <t>CUS-0117</t>
  </si>
  <si>
    <t>CUS-0118</t>
  </si>
  <si>
    <t>CUS-0119</t>
  </si>
  <si>
    <t>CUS-0120</t>
  </si>
  <si>
    <t>CUS-0121</t>
  </si>
  <si>
    <t>CUS-0122</t>
  </si>
  <si>
    <t>CUS-0123</t>
  </si>
  <si>
    <t>CUS-0124</t>
  </si>
  <si>
    <t>CUS-0125</t>
  </si>
  <si>
    <t>CUS-0126</t>
  </si>
  <si>
    <t>CUS-0127</t>
  </si>
  <si>
    <t>CUS-0128</t>
  </si>
  <si>
    <t>CUS-0129</t>
  </si>
  <si>
    <t>CUS-0130</t>
  </si>
  <si>
    <t>CUS-0131</t>
  </si>
  <si>
    <t>CUS-0132</t>
  </si>
  <si>
    <t>CUS-0133</t>
  </si>
  <si>
    <t>CUS-0134</t>
  </si>
  <si>
    <t>CUS-0135</t>
  </si>
  <si>
    <t>CUS-0136</t>
  </si>
  <si>
    <t>CUS-0137</t>
  </si>
  <si>
    <t>CUS-0138</t>
  </si>
  <si>
    <t>CUS-0139</t>
  </si>
  <si>
    <t>CUS-0140</t>
  </si>
  <si>
    <t>CUS-0141</t>
  </si>
  <si>
    <t>CUS-0142</t>
  </si>
  <si>
    <t>CUS-0143</t>
  </si>
  <si>
    <t>CUS-0144</t>
  </si>
  <si>
    <t>CUS-0145</t>
  </si>
  <si>
    <t>CUS-0146</t>
  </si>
  <si>
    <t>CUS-0147</t>
  </si>
  <si>
    <t>CUS-0148</t>
  </si>
  <si>
    <t>CUS-0149</t>
  </si>
  <si>
    <t>CUS-0150</t>
  </si>
  <si>
    <t>CUS-0151</t>
  </si>
  <si>
    <t>CUS-0152</t>
  </si>
  <si>
    <t>CUS-0153</t>
  </si>
  <si>
    <t>CUS-0154</t>
  </si>
  <si>
    <t>CUS-0155</t>
  </si>
  <si>
    <t>CUS-0156</t>
  </si>
  <si>
    <t>CUS-0157</t>
  </si>
  <si>
    <t>CUS-0158</t>
  </si>
  <si>
    <t>CUS-0159</t>
  </si>
  <si>
    <t>CUS-0160</t>
  </si>
  <si>
    <t>CUS-0161</t>
  </si>
  <si>
    <t>CUS-0162</t>
  </si>
  <si>
    <t>CUS-0163</t>
  </si>
  <si>
    <t>CUS-0164</t>
  </si>
  <si>
    <t>CUS-0165</t>
  </si>
  <si>
    <t>CUS-0166</t>
  </si>
  <si>
    <t>CUS-0167</t>
  </si>
  <si>
    <t>CUS-0168</t>
  </si>
  <si>
    <t>CUS-0169</t>
  </si>
  <si>
    <t>CUS-0170</t>
  </si>
  <si>
    <t>CUS-0171</t>
  </si>
  <si>
    <t>CUS-0172</t>
  </si>
  <si>
    <t>CUS-0173</t>
  </si>
  <si>
    <t>CUS-0174</t>
  </si>
  <si>
    <t>CUS-0175</t>
  </si>
  <si>
    <t>CUS-0176</t>
  </si>
  <si>
    <t>CUS-0177</t>
  </si>
  <si>
    <t>CUS-0178</t>
  </si>
  <si>
    <t>CUS-0179</t>
  </si>
  <si>
    <t>CUS-0180</t>
  </si>
  <si>
    <t>CUS-0181</t>
  </si>
  <si>
    <t>CUS-0182</t>
  </si>
  <si>
    <t>CUS-0183</t>
  </si>
  <si>
    <t>CUS-0184</t>
  </si>
  <si>
    <t>CUS-0185</t>
  </si>
  <si>
    <t>CUS-0186</t>
  </si>
  <si>
    <t>CUS-0187</t>
  </si>
  <si>
    <t>CUS-0188</t>
  </si>
  <si>
    <t>CUS-0189</t>
  </si>
  <si>
    <t>CUS-0190</t>
  </si>
  <si>
    <t>CUS-0191</t>
  </si>
  <si>
    <t>CUS-0192</t>
  </si>
  <si>
    <t>CUS-0193</t>
  </si>
  <si>
    <t>CUS-0194</t>
  </si>
  <si>
    <t>CUS-0195</t>
  </si>
  <si>
    <t>CUS-0196</t>
  </si>
  <si>
    <t>CUS-0197</t>
  </si>
  <si>
    <t>CUS-0198</t>
  </si>
  <si>
    <t>CUS-0199</t>
  </si>
  <si>
    <t>CUS-0200</t>
  </si>
  <si>
    <t>STU-041</t>
  </si>
  <si>
    <t>STU-042</t>
  </si>
  <si>
    <t>STU-043</t>
  </si>
  <si>
    <t>STU-044</t>
  </si>
  <si>
    <t>STU-045</t>
  </si>
  <si>
    <t>STU-046</t>
  </si>
  <si>
    <t>STU-047</t>
  </si>
  <si>
    <t>STU-048</t>
  </si>
  <si>
    <t>STU-049</t>
  </si>
  <si>
    <t>STU-050</t>
  </si>
  <si>
    <t>STU-051</t>
  </si>
  <si>
    <t>STU-052</t>
  </si>
  <si>
    <t>STU-053</t>
  </si>
  <si>
    <t>STU-054</t>
  </si>
  <si>
    <t>CUS-0201</t>
  </si>
  <si>
    <t>CUS-0202</t>
  </si>
  <si>
    <t>CUS-0203</t>
  </si>
  <si>
    <t>CUS-0204</t>
  </si>
  <si>
    <t>CUS-0205</t>
  </si>
  <si>
    <t>CUS-0206</t>
  </si>
  <si>
    <t>CUS-0207</t>
  </si>
  <si>
    <t>CUS-0208</t>
  </si>
  <si>
    <t>CUS-0209</t>
  </si>
  <si>
    <t>CUS-0210</t>
  </si>
  <si>
    <t>CUS-0211</t>
  </si>
  <si>
    <t>CUS-0212</t>
  </si>
  <si>
    <t>CUS-0213</t>
  </si>
  <si>
    <t>CUS-0214</t>
  </si>
  <si>
    <t>CUS-0215</t>
  </si>
  <si>
    <t>CUS-0216</t>
  </si>
  <si>
    <t>CUS-0217</t>
  </si>
  <si>
    <t>CUS-0218</t>
  </si>
  <si>
    <t>CUS-0219</t>
  </si>
  <si>
    <t>CUS-0220</t>
  </si>
  <si>
    <t>CUS-0221</t>
  </si>
  <si>
    <t>CUS-0222</t>
  </si>
  <si>
    <t>CUS-0223</t>
  </si>
  <si>
    <t>CUS-0224</t>
  </si>
  <si>
    <t>CUS-0225</t>
  </si>
  <si>
    <t>CUS-0226</t>
  </si>
  <si>
    <t>CUS-0227</t>
  </si>
  <si>
    <t>CUS-0228</t>
  </si>
  <si>
    <t>CUS-0229</t>
  </si>
  <si>
    <t>CUS-0230</t>
  </si>
  <si>
    <t>CUS-0231</t>
  </si>
  <si>
    <t>CUS-0232</t>
  </si>
  <si>
    <t>CUS-0233</t>
  </si>
  <si>
    <t>CUS-0234</t>
  </si>
  <si>
    <t>CUS-0235</t>
  </si>
  <si>
    <t>CUS-0236</t>
  </si>
  <si>
    <t>CUS-0237</t>
  </si>
  <si>
    <t>CUS-0238</t>
  </si>
  <si>
    <t>CUS-0239</t>
  </si>
  <si>
    <t>CUS-0240</t>
  </si>
  <si>
    <t>CUS-0241</t>
  </si>
  <si>
    <t>CUS-0242</t>
  </si>
  <si>
    <t>CUS-0243</t>
  </si>
  <si>
    <t>CUS-0244</t>
  </si>
  <si>
    <t>CUS-0245</t>
  </si>
  <si>
    <t>CUS-0246</t>
  </si>
  <si>
    <t>CUS-0247</t>
  </si>
  <si>
    <t>CUS-0248</t>
  </si>
  <si>
    <t>CUS-0249</t>
  </si>
  <si>
    <t>CUS-0250</t>
  </si>
  <si>
    <t>CUS-0251</t>
  </si>
  <si>
    <t>CUS-0252</t>
  </si>
  <si>
    <t>CUS-0253</t>
  </si>
  <si>
    <t>CUS-0254</t>
  </si>
  <si>
    <t>CUS-0255</t>
  </si>
  <si>
    <t>CUS-0256</t>
  </si>
  <si>
    <t>CUS-0257</t>
  </si>
  <si>
    <t>CUS-0258</t>
  </si>
  <si>
    <t>CUS-0259</t>
  </si>
  <si>
    <t>CUS-0260</t>
  </si>
  <si>
    <t>CUS-0261</t>
  </si>
  <si>
    <t>CUS-0262</t>
  </si>
  <si>
    <t>CUS-0263</t>
  </si>
  <si>
    <t>CUS-0264</t>
  </si>
  <si>
    <t>CUS-0265</t>
  </si>
  <si>
    <t>CUS-0266</t>
  </si>
  <si>
    <t>CUS-0267</t>
  </si>
  <si>
    <t>CUS-0268</t>
  </si>
  <si>
    <t>CUS-0269</t>
  </si>
  <si>
    <t>CUS-0270</t>
  </si>
  <si>
    <t>CUS-0271</t>
  </si>
  <si>
    <t>CUS-0272</t>
  </si>
  <si>
    <t>CUS-0273</t>
  </si>
  <si>
    <t>CUS-0274</t>
  </si>
  <si>
    <t>CUS-0275</t>
  </si>
  <si>
    <t>CUS-0276</t>
  </si>
  <si>
    <t>CUS-0277</t>
  </si>
  <si>
    <t>CUS-0278</t>
  </si>
  <si>
    <t>CUS-0279</t>
  </si>
  <si>
    <t>CUS-0280</t>
  </si>
  <si>
    <t>CUS-0281</t>
  </si>
  <si>
    <t>CUS-0282</t>
  </si>
  <si>
    <t>CUS-0283</t>
  </si>
  <si>
    <t>CUS-0284</t>
  </si>
  <si>
    <t>CUS-0285</t>
  </si>
  <si>
    <t>CUS-0286</t>
  </si>
  <si>
    <t>CUS-0287</t>
  </si>
  <si>
    <t>CUS-0288</t>
  </si>
  <si>
    <t>CUS-0289</t>
  </si>
  <si>
    <t>CUS-0290</t>
  </si>
  <si>
    <t>CUS-0291</t>
  </si>
  <si>
    <t>CUS-0292</t>
  </si>
  <si>
    <t>CUS-0293</t>
  </si>
  <si>
    <t>CUS-0294</t>
  </si>
  <si>
    <t>CUS-0295</t>
  </si>
  <si>
    <t>CUS-0296</t>
  </si>
  <si>
    <t>CUS-0297</t>
  </si>
  <si>
    <t>CUS-0298</t>
  </si>
  <si>
    <t>CUS-0299</t>
  </si>
  <si>
    <t>Sales</t>
  </si>
  <si>
    <t>Alex</t>
  </si>
  <si>
    <t>(All)</t>
  </si>
  <si>
    <t>Row Labels</t>
  </si>
  <si>
    <t>Grand Total</t>
  </si>
  <si>
    <t>Sum of Sales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</si>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</sst>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</font>
    <font>
      <b/>
      <sz val="12"/>
      <color rgb="FFFFFFFF"/>
      <name val="Aptos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17365D"/>
      </bottom>
      <diagonal/>
    </border>
    <border>
      <left style="thin">
        <color rgb="FFB4C6E7"/>
      </left>
      <right style="thin">
        <color rgb="FFB4C6E7"/>
      </right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18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4" fontId="1" fillId="3" borderId="2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0" xfId="0" applyNumberFormat="1"/>
    <xf numFmtId="0" fontId="4" fillId="5" borderId="0" xfId="1"/>
    <xf numFmtId="16" fontId="0" fillId="0" borderId="0" xfId="0" applyNumberFormat="1"/>
    <xf numFmtId="0" fontId="3" fillId="6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Accent1" xfId="1" builtinId="29"/>
    <cellStyle name="Normal" xfId="0" builtinId="0"/>
  </cellStyles>
  <dxfs count="3"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moud Ashrey" refreshedDate="46253.841303125002" createdVersion="8" refreshedVersion="8" minRefreshableVersion="3" recordCount="4" xr:uid="{0A740C5B-1942-408F-A618-01CED8A3D882}">
  <cacheSource type="worksheet">
    <worksheetSource name="Table2"/>
  </cacheSource>
  <cacheFields count="4">
    <cacheField name="Date" numFmtId="16">
      <sharedItems containsSemiMixedTypes="0" containsNonDate="0" containsDate="1" containsString="0" minDate="2026-01-01T00:00:00" maxDate="2026-01-08T00:00:00"/>
    </cacheField>
    <cacheField name="Region" numFmtId="0">
      <sharedItems count="2">
        <s v="Cairo"/>
        <s v="Alex"/>
      </sharedItems>
    </cacheField>
    <cacheField name="Product" numFmtId="0">
      <sharedItems count="3">
        <s v="Laptop"/>
        <s v="Mouse"/>
        <s v="Keyboard"/>
      </sharedItems>
    </cacheField>
    <cacheField name="Sales" numFmtId="0">
      <sharedItems containsSemiMixedTypes="0" containsString="0" containsNumber="1" containsInteger="1" minValue="2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d v="2026-01-01T00:00:00"/>
    <x v="0"/>
    <x v="0"/>
    <n v="5000"/>
  </r>
  <r>
    <d v="2026-01-02T00:00:00"/>
    <x v="1"/>
    <x v="1"/>
    <n v="200"/>
  </r>
  <r>
    <d v="2026-01-05T00:00:00"/>
    <x v="0"/>
    <x v="2"/>
    <n v="700"/>
  </r>
  <r>
    <d v="2026-01-07T00:00:00"/>
    <x v="1"/>
    <x v="0"/>
    <n v="4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8C6FBB-823A-4710-8CAD-1148AB3C4D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6" firstHeaderRow="1" firstDataRow="1" firstDataCol="1" rowPageCount="1" colPageCount="1"/>
  <pivotFields count="4">
    <pivotField numFmtId="16" showAll="0"/>
    <pivotField axis="axisRow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84756-D4F7-4734-A49F-A19AD508BFB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">
    <pivotField numFmtId="16" showAll="0"/>
    <pivotField axis="axisRow" showAll="0">
      <items count="3">
        <item x="1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C8BCD-A30F-4A03-8B90-6845BAE94755}" name="Table1" displayName="Table1" ref="A1:C6" totalsRowShown="0">
  <autoFilter ref="A1:C6" xr:uid="{19DC8BCD-A30F-4A03-8B90-6845BAE94755}"/>
  <tableColumns count="3">
    <tableColumn id="1" xr3:uid="{C8B82454-1E2E-4353-8C42-70D674B412FE}" name="Product"/>
    <tableColumn id="2" xr3:uid="{11147B21-E4D3-4D78-AF8B-C740CC92F0E3}" name="Price"/>
    <tableColumn id="3" xr3:uid="{417172FD-F63A-4598-9058-96E0EB31DB62}" name="Column1" dataDxfId="2">
      <calculatedColumnFormula xml:space="preserve"> A1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D1817-BDF1-4452-9131-FF35F2287161}" name="Table2" displayName="Table2" ref="A1:D5" totalsRowShown="0" headerRowDxfId="1">
  <autoFilter ref="A1:D5" xr:uid="{386D1817-BDF1-4452-9131-FF35F2287161}"/>
  <tableColumns count="4">
    <tableColumn id="1" xr3:uid="{9FBB0477-765A-47B6-94B6-22BD566771DD}" name="Date" dataDxfId="0"/>
    <tableColumn id="2" xr3:uid="{7F138410-DE16-4FC8-9A04-934835E1F736}" name="Region"/>
    <tableColumn id="3" xr3:uid="{02308353-7682-4474-86F9-91A6671BE4A0}" name="Product"/>
    <tableColumn id="4" xr3:uid="{2D198E89-DF7A-49D3-A627-3484D30E8F7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73A3747-C7C5-48FD-9C18-4AE2698585A3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BMqgIyFwslGWUAzh2D7m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721C645-FD43-40A7-A6D3-F060D1D25DBD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8f88a247-a60d-4be4-8f84-1be3f71fd0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B5C8-6D1F-4963-9F43-A7741623E61E}">
  <dimension ref="A1:C6"/>
  <sheetViews>
    <sheetView zoomScale="130" zoomScaleNormal="130" workbookViewId="0">
      <selection activeCell="F6" sqref="F6"/>
    </sheetView>
  </sheetViews>
  <sheetFormatPr defaultRowHeight="14.4" x14ac:dyDescent="0.3"/>
  <cols>
    <col min="1" max="1" width="11.21875" bestFit="1" customWidth="1"/>
    <col min="2" max="2" width="7.5546875" bestFit="1" customWidth="1"/>
    <col min="9" max="9" width="10.33203125" bestFit="1" customWidth="1"/>
  </cols>
  <sheetData>
    <row r="1" spans="1:3" x14ac:dyDescent="0.3">
      <c r="A1" t="s">
        <v>6</v>
      </c>
      <c r="B1" t="s">
        <v>7</v>
      </c>
      <c r="C1" t="s">
        <v>5</v>
      </c>
    </row>
    <row r="2" spans="1:3" x14ac:dyDescent="0.3">
      <c r="A2" t="s">
        <v>0</v>
      </c>
      <c r="B2">
        <v>1200</v>
      </c>
      <c r="C2" t="str">
        <f t="shared" ref="C2:C6" si="0" xml:space="preserve"> A1</f>
        <v>Product</v>
      </c>
    </row>
    <row r="3" spans="1:3" x14ac:dyDescent="0.3">
      <c r="A3" t="s">
        <v>1</v>
      </c>
      <c r="B3">
        <v>25</v>
      </c>
      <c r="C3" t="str">
        <f t="shared" si="0"/>
        <v>Laptop</v>
      </c>
    </row>
    <row r="4" spans="1:3" x14ac:dyDescent="0.3">
      <c r="A4" t="s">
        <v>2</v>
      </c>
      <c r="B4">
        <v>45</v>
      </c>
      <c r="C4" t="str">
        <f t="shared" si="0"/>
        <v>Mouse</v>
      </c>
    </row>
    <row r="5" spans="1:3" x14ac:dyDescent="0.3">
      <c r="A5" t="s">
        <v>3</v>
      </c>
      <c r="B5">
        <v>300</v>
      </c>
      <c r="C5" t="str">
        <f t="shared" si="0"/>
        <v>Keyboard</v>
      </c>
    </row>
    <row r="6" spans="1:3" x14ac:dyDescent="0.3">
      <c r="A6" t="s">
        <v>4</v>
      </c>
      <c r="B6">
        <v>80</v>
      </c>
      <c r="C6" t="str">
        <f t="shared" si="0"/>
        <v>Monitor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F646-73FD-42C7-A6EE-C21208AB5298}">
  <dimension ref="A1:K6"/>
  <sheetViews>
    <sheetView workbookViewId="0">
      <selection activeCell="J3" sqref="J3"/>
    </sheetView>
  </sheetViews>
  <sheetFormatPr defaultRowHeight="14.4" x14ac:dyDescent="0.3"/>
  <cols>
    <col min="1" max="1" width="12.44140625" bestFit="1" customWidth="1"/>
    <col min="2" max="2" width="11.5546875" bestFit="1" customWidth="1"/>
    <col min="10" max="10" width="12.44140625" bestFit="1" customWidth="1"/>
    <col min="11" max="11" width="11.5546875" bestFit="1" customWidth="1"/>
  </cols>
  <sheetData>
    <row r="1" spans="1:11" x14ac:dyDescent="0.3">
      <c r="A1" s="16" t="s">
        <v>6</v>
      </c>
      <c r="B1" t="s">
        <v>479</v>
      </c>
      <c r="J1" s="16" t="s">
        <v>6</v>
      </c>
      <c r="K1" t="s">
        <v>479</v>
      </c>
    </row>
    <row r="3" spans="1:11" x14ac:dyDescent="0.3">
      <c r="A3" s="16" t="s">
        <v>480</v>
      </c>
      <c r="B3" t="s">
        <v>482</v>
      </c>
      <c r="J3" s="16" t="s">
        <v>480</v>
      </c>
      <c r="K3" t="s">
        <v>482</v>
      </c>
    </row>
    <row r="4" spans="1:11" x14ac:dyDescent="0.3">
      <c r="A4" s="17" t="s">
        <v>478</v>
      </c>
      <c r="B4">
        <v>4400</v>
      </c>
      <c r="J4" s="17" t="s">
        <v>478</v>
      </c>
      <c r="K4">
        <v>4400</v>
      </c>
    </row>
    <row r="5" spans="1:11" x14ac:dyDescent="0.3">
      <c r="A5" s="17" t="s">
        <v>63</v>
      </c>
      <c r="B5">
        <v>5700</v>
      </c>
      <c r="J5" s="17" t="s">
        <v>63</v>
      </c>
      <c r="K5">
        <v>5700</v>
      </c>
    </row>
    <row r="6" spans="1:11" x14ac:dyDescent="0.3">
      <c r="A6" s="17" t="s">
        <v>481</v>
      </c>
      <c r="B6">
        <v>10100</v>
      </c>
      <c r="J6" s="17" t="s">
        <v>481</v>
      </c>
      <c r="K6">
        <v>10100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6B0C-F264-4028-A18E-57B2E5689926}">
  <dimension ref="A1:D5"/>
  <sheetViews>
    <sheetView workbookViewId="0">
      <selection activeCell="D12" sqref="D12"/>
    </sheetView>
  </sheetViews>
  <sheetFormatPr defaultRowHeight="14.4" x14ac:dyDescent="0.3"/>
  <cols>
    <col min="1" max="1" width="9.33203125" bestFit="1" customWidth="1"/>
    <col min="2" max="2" width="11" bestFit="1" customWidth="1"/>
    <col min="3" max="3" width="12" bestFit="1" customWidth="1"/>
    <col min="4" max="4" width="10" bestFit="1" customWidth="1"/>
    <col min="5" max="5" width="10.33203125" customWidth="1"/>
  </cols>
  <sheetData>
    <row r="1" spans="1:4" x14ac:dyDescent="0.3">
      <c r="A1" s="15" t="s">
        <v>49</v>
      </c>
      <c r="B1" s="15" t="s">
        <v>10</v>
      </c>
      <c r="C1" s="15" t="s">
        <v>6</v>
      </c>
      <c r="D1" s="15" t="s">
        <v>477</v>
      </c>
    </row>
    <row r="2" spans="1:4" x14ac:dyDescent="0.3">
      <c r="A2" s="14">
        <v>46023</v>
      </c>
      <c r="B2" t="s">
        <v>63</v>
      </c>
      <c r="C2" t="s">
        <v>0</v>
      </c>
      <c r="D2">
        <v>5000</v>
      </c>
    </row>
    <row r="3" spans="1:4" x14ac:dyDescent="0.3">
      <c r="A3" s="14">
        <v>46024</v>
      </c>
      <c r="B3" t="s">
        <v>478</v>
      </c>
      <c r="C3" t="s">
        <v>1</v>
      </c>
      <c r="D3">
        <v>200</v>
      </c>
    </row>
    <row r="4" spans="1:4" x14ac:dyDescent="0.3">
      <c r="A4" s="14">
        <v>46027</v>
      </c>
      <c r="B4" t="s">
        <v>63</v>
      </c>
      <c r="C4" t="s">
        <v>2</v>
      </c>
      <c r="D4">
        <v>700</v>
      </c>
    </row>
    <row r="5" spans="1:4" x14ac:dyDescent="0.3">
      <c r="A5" s="14">
        <v>46029</v>
      </c>
      <c r="B5" t="s">
        <v>478</v>
      </c>
      <c r="C5" t="s">
        <v>0</v>
      </c>
      <c r="D5">
        <v>4200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CC29-A3C3-4A12-9D94-0AB229CAFF7B}">
  <dimension ref="A1:D31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24.109375" customWidth="1"/>
    <col min="2" max="2" width="17.5546875" customWidth="1"/>
    <col min="3" max="3" width="15.77734375" customWidth="1"/>
  </cols>
  <sheetData>
    <row r="1" spans="1:4" ht="24" customHeight="1" thickBot="1" x14ac:dyDescent="0.35">
      <c r="A1" s="10" t="s">
        <v>8</v>
      </c>
      <c r="B1" s="10" t="s">
        <v>9</v>
      </c>
      <c r="C1" s="10" t="s">
        <v>10</v>
      </c>
      <c r="D1" s="11" t="s">
        <v>45</v>
      </c>
    </row>
    <row r="2" spans="1:4" ht="19.95" customHeight="1" x14ac:dyDescent="0.3">
      <c r="A2" s="7" t="s">
        <v>11</v>
      </c>
      <c r="B2" s="8">
        <v>850.25</v>
      </c>
      <c r="C2" s="9" t="s">
        <v>12</v>
      </c>
      <c r="D2" t="str">
        <f>IF(B2 &gt;= 1000, "Bonus", "No Bonus")</f>
        <v>No Bonus</v>
      </c>
    </row>
    <row r="3" spans="1:4" ht="19.95" customHeight="1" x14ac:dyDescent="0.3">
      <c r="A3" s="4" t="s">
        <v>13</v>
      </c>
      <c r="B3" s="5">
        <v>1000</v>
      </c>
      <c r="C3" s="6" t="s">
        <v>14</v>
      </c>
      <c r="D3" t="str">
        <f t="shared" ref="D3:D31" si="0">IF(B3 &gt;= 1000, "Bonus", "No Bonus")</f>
        <v>Bonus</v>
      </c>
    </row>
    <row r="4" spans="1:4" ht="19.95" customHeight="1" x14ac:dyDescent="0.3">
      <c r="A4" s="1" t="s">
        <v>15</v>
      </c>
      <c r="B4" s="2">
        <v>1275.55</v>
      </c>
      <c r="C4" s="3" t="s">
        <v>16</v>
      </c>
      <c r="D4" t="str">
        <f t="shared" si="0"/>
        <v>Bonus</v>
      </c>
    </row>
    <row r="5" spans="1:4" ht="19.95" customHeight="1" x14ac:dyDescent="0.3">
      <c r="A5" s="4" t="s">
        <v>17</v>
      </c>
      <c r="B5" s="5">
        <v>642.79999999999995</v>
      </c>
      <c r="C5" s="6" t="s">
        <v>18</v>
      </c>
      <c r="D5" t="str">
        <f t="shared" si="0"/>
        <v>No Bonus</v>
      </c>
    </row>
    <row r="6" spans="1:4" ht="19.95" customHeight="1" x14ac:dyDescent="0.3">
      <c r="A6" s="1" t="s">
        <v>19</v>
      </c>
      <c r="B6" s="2">
        <v>1899.99</v>
      </c>
      <c r="C6" s="3" t="s">
        <v>12</v>
      </c>
      <c r="D6" t="str">
        <f t="shared" si="0"/>
        <v>Bonus</v>
      </c>
    </row>
    <row r="7" spans="1:4" ht="19.95" customHeight="1" x14ac:dyDescent="0.3">
      <c r="A7" s="4" t="s">
        <v>20</v>
      </c>
      <c r="B7" s="5">
        <v>975.4</v>
      </c>
      <c r="C7" s="6" t="s">
        <v>14</v>
      </c>
      <c r="D7" t="str">
        <f t="shared" si="0"/>
        <v>No Bonus</v>
      </c>
    </row>
    <row r="8" spans="1:4" ht="19.95" customHeight="1" x14ac:dyDescent="0.3">
      <c r="A8" s="1" t="s">
        <v>21</v>
      </c>
      <c r="B8" s="2">
        <v>1450.75</v>
      </c>
      <c r="C8" s="3" t="s">
        <v>16</v>
      </c>
      <c r="D8" t="str">
        <f t="shared" si="0"/>
        <v>Bonus</v>
      </c>
    </row>
    <row r="9" spans="1:4" ht="19.95" customHeight="1" x14ac:dyDescent="0.3">
      <c r="A9" s="4" t="s">
        <v>22</v>
      </c>
      <c r="B9" s="5">
        <v>1100</v>
      </c>
      <c r="C9" s="6" t="s">
        <v>18</v>
      </c>
      <c r="D9" t="str">
        <f t="shared" si="0"/>
        <v>Bonus</v>
      </c>
    </row>
    <row r="10" spans="1:4" ht="19.95" customHeight="1" x14ac:dyDescent="0.3">
      <c r="A10" s="1" t="s">
        <v>23</v>
      </c>
      <c r="B10" s="2">
        <v>799.95</v>
      </c>
      <c r="C10" s="3" t="s">
        <v>12</v>
      </c>
      <c r="D10" t="str">
        <f t="shared" si="0"/>
        <v>No Bonus</v>
      </c>
    </row>
    <row r="11" spans="1:4" ht="19.95" customHeight="1" x14ac:dyDescent="0.3">
      <c r="A11" s="4" t="s">
        <v>24</v>
      </c>
      <c r="B11" s="5">
        <v>2250.35</v>
      </c>
      <c r="C11" s="6" t="s">
        <v>14</v>
      </c>
      <c r="D11" t="str">
        <f t="shared" si="0"/>
        <v>Bonus</v>
      </c>
    </row>
    <row r="12" spans="1:4" ht="19.95" customHeight="1" x14ac:dyDescent="0.3">
      <c r="A12" s="1" t="s">
        <v>25</v>
      </c>
      <c r="B12" s="2">
        <v>1000</v>
      </c>
      <c r="C12" s="3" t="s">
        <v>16</v>
      </c>
      <c r="D12" t="str">
        <f t="shared" si="0"/>
        <v>Bonus</v>
      </c>
    </row>
    <row r="13" spans="1:4" ht="19.95" customHeight="1" x14ac:dyDescent="0.3">
      <c r="A13" s="4" t="s">
        <v>26</v>
      </c>
      <c r="B13" s="5">
        <v>534.6</v>
      </c>
      <c r="C13" s="6" t="s">
        <v>18</v>
      </c>
      <c r="D13" t="str">
        <f t="shared" si="0"/>
        <v>No Bonus</v>
      </c>
    </row>
    <row r="14" spans="1:4" ht="19.95" customHeight="1" x14ac:dyDescent="0.3">
      <c r="A14" s="1" t="s">
        <v>27</v>
      </c>
      <c r="B14" s="2">
        <v>1325.25</v>
      </c>
      <c r="C14" s="3" t="s">
        <v>12</v>
      </c>
      <c r="D14" t="str">
        <f t="shared" si="0"/>
        <v>Bonus</v>
      </c>
    </row>
    <row r="15" spans="1:4" ht="19.95" customHeight="1" x14ac:dyDescent="0.3">
      <c r="A15" s="4" t="s">
        <v>28</v>
      </c>
      <c r="B15" s="5">
        <v>999.99</v>
      </c>
      <c r="C15" s="6" t="s">
        <v>14</v>
      </c>
      <c r="D15" t="str">
        <f t="shared" si="0"/>
        <v>No Bonus</v>
      </c>
    </row>
    <row r="16" spans="1:4" ht="19.95" customHeight="1" x14ac:dyDescent="0.3">
      <c r="A16" s="1" t="s">
        <v>29</v>
      </c>
      <c r="B16" s="2">
        <v>1755.45</v>
      </c>
      <c r="C16" s="3" t="s">
        <v>16</v>
      </c>
      <c r="D16" t="str">
        <f t="shared" si="0"/>
        <v>Bonus</v>
      </c>
    </row>
    <row r="17" spans="1:4" ht="19.95" customHeight="1" x14ac:dyDescent="0.3">
      <c r="A17" s="4" t="s">
        <v>30</v>
      </c>
      <c r="B17" s="5">
        <v>720.7</v>
      </c>
      <c r="C17" s="6" t="s">
        <v>18</v>
      </c>
      <c r="D17" t="str">
        <f t="shared" si="0"/>
        <v>No Bonus</v>
      </c>
    </row>
    <row r="18" spans="1:4" ht="19.95" customHeight="1" x14ac:dyDescent="0.3">
      <c r="A18" s="1" t="s">
        <v>31</v>
      </c>
      <c r="B18" s="2">
        <v>2500</v>
      </c>
      <c r="C18" s="3" t="s">
        <v>12</v>
      </c>
      <c r="D18" t="str">
        <f t="shared" si="0"/>
        <v>Bonus</v>
      </c>
    </row>
    <row r="19" spans="1:4" ht="19.95" customHeight="1" x14ac:dyDescent="0.3">
      <c r="A19" s="4" t="s">
        <v>32</v>
      </c>
      <c r="B19" s="5">
        <v>1188.8800000000001</v>
      </c>
      <c r="C19" s="6" t="s">
        <v>14</v>
      </c>
      <c r="D19" t="str">
        <f t="shared" si="0"/>
        <v>Bonus</v>
      </c>
    </row>
    <row r="20" spans="1:4" ht="19.95" customHeight="1" x14ac:dyDescent="0.3">
      <c r="A20" s="1" t="s">
        <v>33</v>
      </c>
      <c r="B20" s="2">
        <v>905.15</v>
      </c>
      <c r="C20" s="3" t="s">
        <v>16</v>
      </c>
      <c r="D20" t="str">
        <f t="shared" si="0"/>
        <v>No Bonus</v>
      </c>
    </row>
    <row r="21" spans="1:4" ht="19.95" customHeight="1" x14ac:dyDescent="0.3">
      <c r="A21" s="4" t="s">
        <v>34</v>
      </c>
      <c r="B21" s="5">
        <v>1549.95</v>
      </c>
      <c r="C21" s="6" t="s">
        <v>18</v>
      </c>
      <c r="D21" t="str">
        <f t="shared" si="0"/>
        <v>Bonus</v>
      </c>
    </row>
    <row r="22" spans="1:4" ht="19.95" customHeight="1" x14ac:dyDescent="0.3">
      <c r="A22" s="1" t="s">
        <v>35</v>
      </c>
      <c r="B22" s="2">
        <v>680</v>
      </c>
      <c r="C22" s="3" t="s">
        <v>12</v>
      </c>
      <c r="D22" t="str">
        <f t="shared" si="0"/>
        <v>No Bonus</v>
      </c>
    </row>
    <row r="23" spans="1:4" ht="19.95" customHeight="1" x14ac:dyDescent="0.3">
      <c r="A23" s="4" t="s">
        <v>36</v>
      </c>
      <c r="B23" s="5">
        <v>2100.1</v>
      </c>
      <c r="C23" s="6" t="s">
        <v>14</v>
      </c>
      <c r="D23" t="str">
        <f t="shared" si="0"/>
        <v>Bonus</v>
      </c>
    </row>
    <row r="24" spans="1:4" ht="19.95" customHeight="1" x14ac:dyDescent="0.3">
      <c r="A24" s="1" t="s">
        <v>37</v>
      </c>
      <c r="B24" s="2">
        <v>1000</v>
      </c>
      <c r="C24" s="3" t="s">
        <v>16</v>
      </c>
      <c r="D24" t="str">
        <f t="shared" si="0"/>
        <v>Bonus</v>
      </c>
    </row>
    <row r="25" spans="1:4" ht="19.95" customHeight="1" x14ac:dyDescent="0.3">
      <c r="A25" s="4" t="s">
        <v>38</v>
      </c>
      <c r="B25" s="5">
        <v>845.85</v>
      </c>
      <c r="C25" s="6" t="s">
        <v>18</v>
      </c>
      <c r="D25" t="str">
        <f t="shared" si="0"/>
        <v>No Bonus</v>
      </c>
    </row>
    <row r="26" spans="1:4" ht="19.95" customHeight="1" x14ac:dyDescent="0.3">
      <c r="A26" s="1" t="s">
        <v>39</v>
      </c>
      <c r="B26" s="2">
        <v>1379.65</v>
      </c>
      <c r="C26" s="3" t="s">
        <v>12</v>
      </c>
      <c r="D26" t="str">
        <f t="shared" si="0"/>
        <v>Bonus</v>
      </c>
    </row>
    <row r="27" spans="1:4" ht="19.95" customHeight="1" x14ac:dyDescent="0.3">
      <c r="A27" s="4" t="s">
        <v>40</v>
      </c>
      <c r="B27" s="5">
        <v>559.9</v>
      </c>
      <c r="C27" s="6" t="s">
        <v>14</v>
      </c>
      <c r="D27" t="str">
        <f t="shared" si="0"/>
        <v>No Bonus</v>
      </c>
    </row>
    <row r="28" spans="1:4" ht="19.95" customHeight="1" x14ac:dyDescent="0.3">
      <c r="A28" s="1" t="s">
        <v>41</v>
      </c>
      <c r="B28" s="2">
        <v>3000.99</v>
      </c>
      <c r="C28" s="3" t="s">
        <v>16</v>
      </c>
      <c r="D28" t="str">
        <f t="shared" si="0"/>
        <v>Bonus</v>
      </c>
    </row>
    <row r="29" spans="1:4" ht="19.95" customHeight="1" x14ac:dyDescent="0.3">
      <c r="A29" s="4" t="s">
        <v>42</v>
      </c>
      <c r="B29" s="5">
        <v>990.5</v>
      </c>
      <c r="C29" s="6" t="s">
        <v>18</v>
      </c>
      <c r="D29" t="str">
        <f t="shared" si="0"/>
        <v>No Bonus</v>
      </c>
    </row>
    <row r="30" spans="1:4" ht="19.95" customHeight="1" x14ac:dyDescent="0.3">
      <c r="A30" s="1" t="s">
        <v>43</v>
      </c>
      <c r="B30" s="2">
        <v>1650.75</v>
      </c>
      <c r="C30" s="3" t="s">
        <v>12</v>
      </c>
      <c r="D30" t="str">
        <f t="shared" si="0"/>
        <v>Bonus</v>
      </c>
    </row>
    <row r="31" spans="1:4" ht="19.95" customHeight="1" x14ac:dyDescent="0.3">
      <c r="A31" s="4" t="s">
        <v>44</v>
      </c>
      <c r="B31" s="5">
        <v>1125.25</v>
      </c>
      <c r="C31" s="6" t="s">
        <v>14</v>
      </c>
      <c r="D31" t="str">
        <f t="shared" si="0"/>
        <v>Bonus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AF52-A58A-47B5-8B20-57EA7743F3E7}">
  <dimension ref="A1:H33"/>
  <sheetViews>
    <sheetView workbookViewId="0">
      <selection activeCell="B33" sqref="B33"/>
    </sheetView>
  </sheetViews>
  <sheetFormatPr defaultRowHeight="14.4" x14ac:dyDescent="0.3"/>
  <cols>
    <col min="1" max="1" width="11.21875" bestFit="1" customWidth="1"/>
    <col min="2" max="2" width="9.44140625" bestFit="1" customWidth="1"/>
    <col min="3" max="3" width="7.33203125" bestFit="1" customWidth="1"/>
    <col min="4" max="4" width="10" bestFit="1" customWidth="1"/>
    <col min="5" max="5" width="9.33203125" bestFit="1" customWidth="1"/>
    <col min="6" max="6" width="15.44140625" bestFit="1" customWidth="1"/>
    <col min="7" max="7" width="13.5546875" bestFit="1" customWidth="1"/>
    <col min="8" max="8" width="8.21875" bestFit="1" customWidth="1"/>
  </cols>
  <sheetData>
    <row r="1" spans="1:8" x14ac:dyDescent="0.3">
      <c r="A1" s="13" t="s">
        <v>46</v>
      </c>
      <c r="B1" s="13" t="s">
        <v>10</v>
      </c>
      <c r="C1" s="13" t="s">
        <v>47</v>
      </c>
      <c r="D1" s="13" t="s">
        <v>48</v>
      </c>
      <c r="E1" s="13" t="s">
        <v>49</v>
      </c>
      <c r="F1" s="13" t="s">
        <v>50</v>
      </c>
      <c r="G1" s="13" t="s">
        <v>51</v>
      </c>
      <c r="H1" s="13" t="s">
        <v>52</v>
      </c>
    </row>
    <row r="2" spans="1:8" x14ac:dyDescent="0.3">
      <c r="A2" t="s">
        <v>53</v>
      </c>
      <c r="B2" t="s">
        <v>54</v>
      </c>
      <c r="C2" t="s">
        <v>55</v>
      </c>
      <c r="D2">
        <v>4737.4179999999997</v>
      </c>
      <c r="E2" s="12">
        <v>46026</v>
      </c>
      <c r="F2">
        <f t="shared" ref="F2:F31" si="0">ROUND(D2,2)</f>
        <v>4737.42</v>
      </c>
      <c r="G2" t="str">
        <f t="shared" ref="G2:G31" si="1">TEXT(E2,"dd-mmm-yyyy")</f>
        <v>04-Jan-2026</v>
      </c>
      <c r="H2" t="str">
        <f t="shared" ref="H2:H31" si="2">IF(D2&gt;10000,"Priority","Standard")</f>
        <v>Standard</v>
      </c>
    </row>
    <row r="3" spans="1:8" x14ac:dyDescent="0.3">
      <c r="A3" t="s">
        <v>56</v>
      </c>
      <c r="B3" t="s">
        <v>57</v>
      </c>
      <c r="C3" t="s">
        <v>58</v>
      </c>
      <c r="D3">
        <v>5274.8360000000002</v>
      </c>
      <c r="E3" s="12">
        <v>46060</v>
      </c>
      <c r="F3">
        <f t="shared" si="0"/>
        <v>5274.84</v>
      </c>
      <c r="G3" t="str">
        <f t="shared" si="1"/>
        <v>07-Feb-2026</v>
      </c>
      <c r="H3" t="str">
        <f t="shared" si="2"/>
        <v>Standard</v>
      </c>
    </row>
    <row r="4" spans="1:8" x14ac:dyDescent="0.3">
      <c r="A4" t="s">
        <v>59</v>
      </c>
      <c r="B4" t="s">
        <v>60</v>
      </c>
      <c r="C4" t="s">
        <v>61</v>
      </c>
      <c r="D4">
        <v>5812.2539999999999</v>
      </c>
      <c r="E4" s="12">
        <v>46091</v>
      </c>
      <c r="F4">
        <f t="shared" si="0"/>
        <v>5812.25</v>
      </c>
      <c r="G4" t="str">
        <f t="shared" si="1"/>
        <v>10-Mar-2026</v>
      </c>
      <c r="H4" t="str">
        <f t="shared" si="2"/>
        <v>Standard</v>
      </c>
    </row>
    <row r="5" spans="1:8" x14ac:dyDescent="0.3">
      <c r="A5" t="s">
        <v>62</v>
      </c>
      <c r="B5" t="s">
        <v>63</v>
      </c>
      <c r="C5" t="s">
        <v>64</v>
      </c>
      <c r="D5">
        <v>6349.6719999999996</v>
      </c>
      <c r="E5" s="12">
        <v>46125</v>
      </c>
      <c r="F5">
        <f t="shared" si="0"/>
        <v>6349.67</v>
      </c>
      <c r="G5" t="str">
        <f t="shared" si="1"/>
        <v>13-Apr-2026</v>
      </c>
      <c r="H5" t="str">
        <f t="shared" si="2"/>
        <v>Standard</v>
      </c>
    </row>
    <row r="6" spans="1:8" x14ac:dyDescent="0.3">
      <c r="A6" t="s">
        <v>65</v>
      </c>
      <c r="B6" t="s">
        <v>63</v>
      </c>
      <c r="C6" t="s">
        <v>66</v>
      </c>
      <c r="D6">
        <v>6887.09</v>
      </c>
      <c r="E6" s="12">
        <v>46158</v>
      </c>
      <c r="F6">
        <f t="shared" si="0"/>
        <v>6887.09</v>
      </c>
      <c r="G6" t="str">
        <f t="shared" si="1"/>
        <v>16-May-2026</v>
      </c>
      <c r="H6" t="str">
        <f t="shared" si="2"/>
        <v>Standard</v>
      </c>
    </row>
    <row r="7" spans="1:8" x14ac:dyDescent="0.3">
      <c r="A7" t="s">
        <v>67</v>
      </c>
      <c r="B7" t="s">
        <v>54</v>
      </c>
      <c r="C7" t="s">
        <v>55</v>
      </c>
      <c r="D7">
        <v>7424.5079999999998</v>
      </c>
      <c r="E7" s="12">
        <v>46192</v>
      </c>
      <c r="F7">
        <f t="shared" si="0"/>
        <v>7424.51</v>
      </c>
      <c r="G7" t="str">
        <f t="shared" si="1"/>
        <v>19-Jun-2026</v>
      </c>
      <c r="H7" t="str">
        <f t="shared" si="2"/>
        <v>Standard</v>
      </c>
    </row>
    <row r="8" spans="1:8" x14ac:dyDescent="0.3">
      <c r="A8" t="s">
        <v>68</v>
      </c>
      <c r="B8" t="s">
        <v>57</v>
      </c>
      <c r="C8" t="s">
        <v>58</v>
      </c>
      <c r="D8">
        <v>7961.9260000000004</v>
      </c>
      <c r="E8" s="12">
        <v>46225</v>
      </c>
      <c r="F8">
        <f t="shared" si="0"/>
        <v>7961.93</v>
      </c>
      <c r="G8" t="str">
        <f t="shared" si="1"/>
        <v>22-Jul-2026</v>
      </c>
      <c r="H8" t="str">
        <f t="shared" si="2"/>
        <v>Standard</v>
      </c>
    </row>
    <row r="9" spans="1:8" x14ac:dyDescent="0.3">
      <c r="A9" t="s">
        <v>69</v>
      </c>
      <c r="B9" t="s">
        <v>60</v>
      </c>
      <c r="C9" t="s">
        <v>61</v>
      </c>
      <c r="D9">
        <v>8499.3439999999991</v>
      </c>
      <c r="E9" s="12">
        <v>46259</v>
      </c>
      <c r="F9">
        <f t="shared" si="0"/>
        <v>8499.34</v>
      </c>
      <c r="G9" t="str">
        <f t="shared" si="1"/>
        <v>25-Aug-2026</v>
      </c>
      <c r="H9" t="str">
        <f t="shared" si="2"/>
        <v>Standard</v>
      </c>
    </row>
    <row r="10" spans="1:8" x14ac:dyDescent="0.3">
      <c r="A10" t="s">
        <v>70</v>
      </c>
      <c r="B10" t="s">
        <v>63</v>
      </c>
      <c r="C10" t="s">
        <v>64</v>
      </c>
      <c r="D10">
        <v>9036.7620000000006</v>
      </c>
      <c r="E10" s="12">
        <v>46023</v>
      </c>
      <c r="F10">
        <f t="shared" si="0"/>
        <v>9036.76</v>
      </c>
      <c r="G10" t="str">
        <f t="shared" si="1"/>
        <v>01-Jan-2026</v>
      </c>
      <c r="H10" t="str">
        <f t="shared" si="2"/>
        <v>Standard</v>
      </c>
    </row>
    <row r="11" spans="1:8" x14ac:dyDescent="0.3">
      <c r="A11" t="s">
        <v>71</v>
      </c>
      <c r="B11" t="s">
        <v>63</v>
      </c>
      <c r="C11" t="s">
        <v>66</v>
      </c>
      <c r="D11">
        <v>9574.18</v>
      </c>
      <c r="E11" s="12">
        <v>46057</v>
      </c>
      <c r="F11">
        <f t="shared" si="0"/>
        <v>9574.18</v>
      </c>
      <c r="G11" t="str">
        <f t="shared" si="1"/>
        <v>04-Feb-2026</v>
      </c>
      <c r="H11" t="str">
        <f t="shared" si="2"/>
        <v>Standard</v>
      </c>
    </row>
    <row r="12" spans="1:8" x14ac:dyDescent="0.3">
      <c r="A12" t="s">
        <v>72</v>
      </c>
      <c r="B12" t="s">
        <v>54</v>
      </c>
      <c r="C12" t="s">
        <v>55</v>
      </c>
      <c r="D12">
        <v>10111.598</v>
      </c>
      <c r="E12" s="12">
        <v>46088</v>
      </c>
      <c r="F12">
        <f t="shared" si="0"/>
        <v>10111.6</v>
      </c>
      <c r="G12" t="str">
        <f t="shared" si="1"/>
        <v>07-Mar-2026</v>
      </c>
      <c r="H12" t="str">
        <f t="shared" si="2"/>
        <v>Priority</v>
      </c>
    </row>
    <row r="13" spans="1:8" x14ac:dyDescent="0.3">
      <c r="A13" t="s">
        <v>73</v>
      </c>
      <c r="B13" t="s">
        <v>57</v>
      </c>
      <c r="C13" t="s">
        <v>58</v>
      </c>
      <c r="D13">
        <v>10649.016</v>
      </c>
      <c r="E13" s="12">
        <v>46122</v>
      </c>
      <c r="F13">
        <f t="shared" si="0"/>
        <v>10649.02</v>
      </c>
      <c r="G13" t="str">
        <f t="shared" si="1"/>
        <v>10-Apr-2026</v>
      </c>
      <c r="H13" t="str">
        <f t="shared" si="2"/>
        <v>Priority</v>
      </c>
    </row>
    <row r="14" spans="1:8" x14ac:dyDescent="0.3">
      <c r="A14" t="s">
        <v>74</v>
      </c>
      <c r="B14" t="s">
        <v>60</v>
      </c>
      <c r="C14" t="s">
        <v>61</v>
      </c>
      <c r="D14">
        <v>11186.433999999999</v>
      </c>
      <c r="E14" s="12">
        <v>46155</v>
      </c>
      <c r="F14">
        <f t="shared" si="0"/>
        <v>11186.43</v>
      </c>
      <c r="G14" t="str">
        <f t="shared" si="1"/>
        <v>13-May-2026</v>
      </c>
      <c r="H14" t="str">
        <f t="shared" si="2"/>
        <v>Priority</v>
      </c>
    </row>
    <row r="15" spans="1:8" x14ac:dyDescent="0.3">
      <c r="A15" t="s">
        <v>75</v>
      </c>
      <c r="B15" t="s">
        <v>63</v>
      </c>
      <c r="C15" t="s">
        <v>64</v>
      </c>
      <c r="D15">
        <v>11723.852000000001</v>
      </c>
      <c r="E15" s="12">
        <v>46189</v>
      </c>
      <c r="F15">
        <f t="shared" si="0"/>
        <v>11723.85</v>
      </c>
      <c r="G15" t="str">
        <f t="shared" si="1"/>
        <v>16-Jun-2026</v>
      </c>
      <c r="H15" t="str">
        <f t="shared" si="2"/>
        <v>Priority</v>
      </c>
    </row>
    <row r="16" spans="1:8" x14ac:dyDescent="0.3">
      <c r="A16" t="s">
        <v>76</v>
      </c>
      <c r="B16" t="s">
        <v>63</v>
      </c>
      <c r="C16" t="s">
        <v>66</v>
      </c>
      <c r="D16">
        <v>12261.27</v>
      </c>
      <c r="E16" s="12">
        <v>46222</v>
      </c>
      <c r="F16">
        <f t="shared" si="0"/>
        <v>12261.27</v>
      </c>
      <c r="G16" t="str">
        <f t="shared" si="1"/>
        <v>19-Jul-2026</v>
      </c>
      <c r="H16" t="str">
        <f t="shared" si="2"/>
        <v>Priority</v>
      </c>
    </row>
    <row r="17" spans="1:8" x14ac:dyDescent="0.3">
      <c r="A17" t="s">
        <v>77</v>
      </c>
      <c r="B17" t="s">
        <v>54</v>
      </c>
      <c r="C17" t="s">
        <v>55</v>
      </c>
      <c r="D17">
        <v>12798.688</v>
      </c>
      <c r="E17" s="12">
        <v>46256</v>
      </c>
      <c r="F17">
        <f t="shared" si="0"/>
        <v>12798.69</v>
      </c>
      <c r="G17" t="str">
        <f t="shared" si="1"/>
        <v>22-Aug-2026</v>
      </c>
      <c r="H17" t="str">
        <f t="shared" si="2"/>
        <v>Priority</v>
      </c>
    </row>
    <row r="18" spans="1:8" x14ac:dyDescent="0.3">
      <c r="A18" t="s">
        <v>78</v>
      </c>
      <c r="B18" t="s">
        <v>57</v>
      </c>
      <c r="C18" t="s">
        <v>58</v>
      </c>
      <c r="D18">
        <v>13336.106</v>
      </c>
      <c r="E18" s="12">
        <v>46047</v>
      </c>
      <c r="F18">
        <f t="shared" si="0"/>
        <v>13336.11</v>
      </c>
      <c r="G18" t="str">
        <f t="shared" si="1"/>
        <v>25-Jan-2026</v>
      </c>
      <c r="H18" t="str">
        <f t="shared" si="2"/>
        <v>Priority</v>
      </c>
    </row>
    <row r="19" spans="1:8" x14ac:dyDescent="0.3">
      <c r="A19" t="s">
        <v>79</v>
      </c>
      <c r="B19" t="s">
        <v>60</v>
      </c>
      <c r="C19" t="s">
        <v>61</v>
      </c>
      <c r="D19">
        <v>13873.523999999999</v>
      </c>
      <c r="E19" s="12">
        <v>46054</v>
      </c>
      <c r="F19">
        <f t="shared" si="0"/>
        <v>13873.52</v>
      </c>
      <c r="G19" t="str">
        <f t="shared" si="1"/>
        <v>01-Feb-2026</v>
      </c>
      <c r="H19" t="str">
        <f t="shared" si="2"/>
        <v>Priority</v>
      </c>
    </row>
    <row r="20" spans="1:8" x14ac:dyDescent="0.3">
      <c r="A20" t="s">
        <v>80</v>
      </c>
      <c r="B20" t="s">
        <v>63</v>
      </c>
      <c r="C20" t="s">
        <v>64</v>
      </c>
      <c r="D20">
        <v>14410.941999999999</v>
      </c>
      <c r="E20" s="12">
        <v>46085</v>
      </c>
      <c r="F20">
        <f t="shared" si="0"/>
        <v>14410.94</v>
      </c>
      <c r="G20" t="str">
        <f t="shared" si="1"/>
        <v>04-Mar-2026</v>
      </c>
      <c r="H20" t="str">
        <f t="shared" si="2"/>
        <v>Priority</v>
      </c>
    </row>
    <row r="21" spans="1:8" x14ac:dyDescent="0.3">
      <c r="A21" t="s">
        <v>81</v>
      </c>
      <c r="B21" t="s">
        <v>63</v>
      </c>
      <c r="C21" t="s">
        <v>66</v>
      </c>
      <c r="D21">
        <v>14948.36</v>
      </c>
      <c r="E21" s="12">
        <v>46119</v>
      </c>
      <c r="F21">
        <f t="shared" si="0"/>
        <v>14948.36</v>
      </c>
      <c r="G21" t="str">
        <f t="shared" si="1"/>
        <v>07-Apr-2026</v>
      </c>
      <c r="H21" t="str">
        <f t="shared" si="2"/>
        <v>Priority</v>
      </c>
    </row>
    <row r="22" spans="1:8" x14ac:dyDescent="0.3">
      <c r="A22" t="s">
        <v>82</v>
      </c>
      <c r="B22" t="s">
        <v>54</v>
      </c>
      <c r="C22" t="s">
        <v>55</v>
      </c>
      <c r="D22">
        <v>15485.778</v>
      </c>
      <c r="E22" s="12">
        <v>46152</v>
      </c>
      <c r="F22">
        <f t="shared" si="0"/>
        <v>15485.78</v>
      </c>
      <c r="G22" t="str">
        <f t="shared" si="1"/>
        <v>10-May-2026</v>
      </c>
      <c r="H22" t="str">
        <f t="shared" si="2"/>
        <v>Priority</v>
      </c>
    </row>
    <row r="23" spans="1:8" x14ac:dyDescent="0.3">
      <c r="A23" t="s">
        <v>83</v>
      </c>
      <c r="B23" t="s">
        <v>57</v>
      </c>
      <c r="C23" t="s">
        <v>58</v>
      </c>
      <c r="D23">
        <v>16023.196</v>
      </c>
      <c r="E23" s="12">
        <v>46186</v>
      </c>
      <c r="F23">
        <f t="shared" si="0"/>
        <v>16023.2</v>
      </c>
      <c r="G23" t="str">
        <f t="shared" si="1"/>
        <v>13-Jun-2026</v>
      </c>
      <c r="H23" t="str">
        <f t="shared" si="2"/>
        <v>Priority</v>
      </c>
    </row>
    <row r="24" spans="1:8" x14ac:dyDescent="0.3">
      <c r="A24" t="s">
        <v>84</v>
      </c>
      <c r="B24" t="s">
        <v>60</v>
      </c>
      <c r="C24" t="s">
        <v>61</v>
      </c>
      <c r="D24">
        <v>16560.614000000001</v>
      </c>
      <c r="E24" s="12">
        <v>46219</v>
      </c>
      <c r="F24">
        <f t="shared" si="0"/>
        <v>16560.61</v>
      </c>
      <c r="G24" t="str">
        <f t="shared" si="1"/>
        <v>16-Jul-2026</v>
      </c>
      <c r="H24" t="str">
        <f t="shared" si="2"/>
        <v>Priority</v>
      </c>
    </row>
    <row r="25" spans="1:8" x14ac:dyDescent="0.3">
      <c r="A25" t="s">
        <v>85</v>
      </c>
      <c r="B25" t="s">
        <v>63</v>
      </c>
      <c r="C25" t="s">
        <v>64</v>
      </c>
      <c r="D25">
        <v>17098.031999999999</v>
      </c>
      <c r="E25" s="12">
        <v>46253</v>
      </c>
      <c r="F25">
        <f t="shared" si="0"/>
        <v>17098.03</v>
      </c>
      <c r="G25" t="str">
        <f t="shared" si="1"/>
        <v>19-Aug-2026</v>
      </c>
      <c r="H25" t="str">
        <f t="shared" si="2"/>
        <v>Priority</v>
      </c>
    </row>
    <row r="26" spans="1:8" x14ac:dyDescent="0.3">
      <c r="A26" t="s">
        <v>86</v>
      </c>
      <c r="B26" t="s">
        <v>63</v>
      </c>
      <c r="C26" t="s">
        <v>66</v>
      </c>
      <c r="D26">
        <v>17635.45</v>
      </c>
      <c r="E26" s="12">
        <v>46044</v>
      </c>
      <c r="F26">
        <f t="shared" si="0"/>
        <v>17635.45</v>
      </c>
      <c r="G26" t="str">
        <f t="shared" si="1"/>
        <v>22-Jan-2026</v>
      </c>
      <c r="H26" t="str">
        <f t="shared" si="2"/>
        <v>Priority</v>
      </c>
    </row>
    <row r="27" spans="1:8" x14ac:dyDescent="0.3">
      <c r="A27" t="s">
        <v>87</v>
      </c>
      <c r="B27" t="s">
        <v>54</v>
      </c>
      <c r="C27" t="s">
        <v>55</v>
      </c>
      <c r="D27">
        <v>18172.867999999999</v>
      </c>
      <c r="E27" s="12">
        <v>46078</v>
      </c>
      <c r="F27">
        <f t="shared" si="0"/>
        <v>18172.87</v>
      </c>
      <c r="G27" t="str">
        <f t="shared" si="1"/>
        <v>25-Feb-2026</v>
      </c>
      <c r="H27" t="str">
        <f t="shared" si="2"/>
        <v>Priority</v>
      </c>
    </row>
    <row r="28" spans="1:8" x14ac:dyDescent="0.3">
      <c r="A28" t="s">
        <v>88</v>
      </c>
      <c r="B28" t="s">
        <v>57</v>
      </c>
      <c r="C28" t="s">
        <v>58</v>
      </c>
      <c r="D28">
        <v>18710.286</v>
      </c>
      <c r="E28" s="12">
        <v>46082</v>
      </c>
      <c r="F28">
        <f t="shared" si="0"/>
        <v>18710.29</v>
      </c>
      <c r="G28" t="str">
        <f t="shared" si="1"/>
        <v>01-Mar-2026</v>
      </c>
      <c r="H28" t="str">
        <f t="shared" si="2"/>
        <v>Priority</v>
      </c>
    </row>
    <row r="29" spans="1:8" x14ac:dyDescent="0.3">
      <c r="A29" t="s">
        <v>89</v>
      </c>
      <c r="B29" t="s">
        <v>60</v>
      </c>
      <c r="C29" t="s">
        <v>61</v>
      </c>
      <c r="D29">
        <v>19247.704000000002</v>
      </c>
      <c r="E29" s="12">
        <v>46116</v>
      </c>
      <c r="F29">
        <f t="shared" si="0"/>
        <v>19247.7</v>
      </c>
      <c r="G29" t="str">
        <f t="shared" si="1"/>
        <v>04-Apr-2026</v>
      </c>
      <c r="H29" t="str">
        <f t="shared" si="2"/>
        <v>Priority</v>
      </c>
    </row>
    <row r="30" spans="1:8" x14ac:dyDescent="0.3">
      <c r="A30" t="s">
        <v>90</v>
      </c>
      <c r="B30" t="s">
        <v>63</v>
      </c>
      <c r="C30" t="s">
        <v>64</v>
      </c>
      <c r="D30">
        <v>19785.121999999999</v>
      </c>
      <c r="E30" s="12">
        <v>46149</v>
      </c>
      <c r="F30">
        <f t="shared" si="0"/>
        <v>19785.12</v>
      </c>
      <c r="G30" t="str">
        <f t="shared" si="1"/>
        <v>07-May-2026</v>
      </c>
      <c r="H30" t="str">
        <f t="shared" si="2"/>
        <v>Priority</v>
      </c>
    </row>
    <row r="31" spans="1:8" x14ac:dyDescent="0.3">
      <c r="A31" t="s">
        <v>91</v>
      </c>
      <c r="B31" t="s">
        <v>63</v>
      </c>
      <c r="C31" t="s">
        <v>66</v>
      </c>
      <c r="D31">
        <v>20322.54</v>
      </c>
      <c r="E31" s="12">
        <v>46183</v>
      </c>
      <c r="F31">
        <f t="shared" si="0"/>
        <v>20322.54</v>
      </c>
      <c r="G31" t="str">
        <f t="shared" si="1"/>
        <v>10-Jun-2026</v>
      </c>
      <c r="H31" t="str">
        <f t="shared" si="2"/>
        <v>Priority</v>
      </c>
    </row>
    <row r="33" spans="1:2" x14ac:dyDescent="0.3">
      <c r="A33" t="s">
        <v>92</v>
      </c>
      <c r="B33">
        <f>COUNTIF(B2:B31,"Cairo")</f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2518-96AE-454A-8FAD-683BED39DF43}">
  <dimension ref="A1:N41"/>
  <sheetViews>
    <sheetView workbookViewId="0">
      <selection activeCell="N2" sqref="N2"/>
    </sheetView>
  </sheetViews>
  <sheetFormatPr defaultRowHeight="14.4" x14ac:dyDescent="0.3"/>
  <cols>
    <col min="1" max="1" width="9.109375" bestFit="1" customWidth="1"/>
    <col min="2" max="2" width="12.109375" bestFit="1" customWidth="1"/>
    <col min="3" max="3" width="5" bestFit="1" customWidth="1"/>
    <col min="4" max="4" width="6.6640625" bestFit="1" customWidth="1"/>
    <col min="5" max="5" width="7.44140625" bestFit="1" customWidth="1"/>
    <col min="6" max="6" width="6.6640625" bestFit="1" customWidth="1"/>
    <col min="7" max="7" width="9" bestFit="1" customWidth="1"/>
    <col min="8" max="8" width="10.33203125" bestFit="1" customWidth="1"/>
    <col min="9" max="9" width="7.44140625" bestFit="1" customWidth="1"/>
    <col min="10" max="10" width="22.88671875" bestFit="1" customWidth="1"/>
    <col min="12" max="12" width="8.6640625" bestFit="1" customWidth="1"/>
    <col min="13" max="13" width="10" bestFit="1" customWidth="1"/>
  </cols>
  <sheetData>
    <row r="1" spans="1:14" x14ac:dyDescent="0.3">
      <c r="A1" s="13" t="s">
        <v>93</v>
      </c>
      <c r="B1" s="13" t="s">
        <v>94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100</v>
      </c>
      <c r="I1" s="13" t="s">
        <v>101</v>
      </c>
      <c r="J1" s="13" t="s">
        <v>102</v>
      </c>
      <c r="K1" s="13"/>
      <c r="L1" s="13" t="s">
        <v>103</v>
      </c>
      <c r="M1" s="13" t="s">
        <v>104</v>
      </c>
      <c r="N1" s="13" t="s">
        <v>483</v>
      </c>
    </row>
    <row r="2" spans="1:14" x14ac:dyDescent="0.3">
      <c r="A2" t="s">
        <v>105</v>
      </c>
      <c r="B2" t="s">
        <v>106</v>
      </c>
      <c r="C2">
        <v>62</v>
      </c>
      <c r="D2">
        <v>59</v>
      </c>
      <c r="E2">
        <v>63</v>
      </c>
      <c r="F2">
        <v>63</v>
      </c>
      <c r="G2">
        <v>63</v>
      </c>
      <c r="H2" t="str" cm="1">
        <f t="array" ref="H2">_xlfn.IFS(C2&gt;=90,"A",C2&gt;=80,"B",C2&gt;=70,"C",C2&gt;=60,"D",TRUE,"F")</f>
        <v>D</v>
      </c>
      <c r="I2">
        <f t="shared" ref="I2:I41" si="0">AVERAGE(C2:G2)</f>
        <v>62</v>
      </c>
      <c r="J2" t="str">
        <f>_xlfn.TEXTJOIN(" — ",TRUE,B2,H2,TEXT(I2,"0.00"))</f>
        <v>Ali Hassan — D — 62.00</v>
      </c>
      <c r="L2" t="s">
        <v>107</v>
      </c>
      <c r="M2">
        <f>_xlfn.XLOOKUP(L2,A2:A41,C2:C41,"Not Found")</f>
        <v>68</v>
      </c>
      <c r="N2" t="str" cm="1">
        <f t="array" ref="N2">_xlfn.IFS(C2&gt;=90,"A",C2&gt;=80,"B",C2&gt;=70,"C",C2&gt;=60,"D",C2&lt;60,"F")</f>
        <v>D</v>
      </c>
    </row>
    <row r="3" spans="1:14" x14ac:dyDescent="0.3">
      <c r="A3" t="s">
        <v>108</v>
      </c>
      <c r="B3" t="s">
        <v>109</v>
      </c>
      <c r="C3">
        <v>69</v>
      </c>
      <c r="D3">
        <v>68</v>
      </c>
      <c r="E3">
        <v>68</v>
      </c>
      <c r="F3">
        <v>74</v>
      </c>
      <c r="G3">
        <v>66</v>
      </c>
      <c r="H3" t="str" cm="1">
        <f t="array" ref="H3">_xlfn.IFS(C3&gt;=90,"A",C3&gt;=80,"B",C3&gt;=70,"C",C3&gt;=60,"D",TRUE,"F")</f>
        <v>D</v>
      </c>
      <c r="I3">
        <f t="shared" si="0"/>
        <v>69</v>
      </c>
      <c r="J3" t="str">
        <f t="shared" ref="J2:J41" si="1">_xlfn.TEXTJOIN(" — ",TRUE,B3,H3,TEXT(I3,"0.00"))</f>
        <v>Mona Adel — D — 69.00</v>
      </c>
      <c r="L3" t="s">
        <v>126</v>
      </c>
      <c r="M3">
        <f t="shared" ref="M3:M41" si="2">_xlfn.XLOOKUP(L3,A3:A42,C3:C42,"Not Found")</f>
        <v>75</v>
      </c>
      <c r="N3" t="str" cm="1">
        <f t="array" ref="N3">_xlfn.IFS(C3&gt;=90,"A",C3&gt;=80,"B",C3&gt;=70,"C",C3&gt;=60,"D",C3&lt;60,"F")</f>
        <v>D</v>
      </c>
    </row>
    <row r="4" spans="1:14" x14ac:dyDescent="0.3">
      <c r="A4" t="s">
        <v>110</v>
      </c>
      <c r="B4" t="s">
        <v>111</v>
      </c>
      <c r="C4">
        <v>76</v>
      </c>
      <c r="D4">
        <v>77</v>
      </c>
      <c r="E4">
        <v>73</v>
      </c>
      <c r="F4">
        <v>85</v>
      </c>
      <c r="G4">
        <v>69</v>
      </c>
      <c r="H4" t="str" cm="1">
        <f t="array" ref="H4">_xlfn.IFS(C4&gt;=90,"A",C4&gt;=80,"B",C4&gt;=70,"C",C4&gt;=60,"D",TRUE,"F")</f>
        <v>C</v>
      </c>
      <c r="I4">
        <f t="shared" si="0"/>
        <v>76</v>
      </c>
      <c r="J4" t="str">
        <f t="shared" si="1"/>
        <v>Karim Samir — C — 76.00</v>
      </c>
      <c r="L4" t="s">
        <v>127</v>
      </c>
      <c r="M4">
        <f t="shared" si="2"/>
        <v>82</v>
      </c>
      <c r="N4" t="str" cm="1">
        <f t="array" ref="N4">_xlfn.IFS(C4&gt;=90,"A",C4&gt;=80,"B",C4&gt;=70,"C",C4&gt;=60,"D",C4&lt;60,"F")</f>
        <v>C</v>
      </c>
    </row>
    <row r="5" spans="1:14" x14ac:dyDescent="0.3">
      <c r="A5" t="s">
        <v>112</v>
      </c>
      <c r="B5" t="s">
        <v>22</v>
      </c>
      <c r="C5">
        <v>83</v>
      </c>
      <c r="D5">
        <v>86</v>
      </c>
      <c r="E5">
        <v>78</v>
      </c>
      <c r="F5">
        <v>96</v>
      </c>
      <c r="G5">
        <v>72</v>
      </c>
      <c r="H5" t="str" cm="1">
        <f t="array" ref="H5">_xlfn.IFS(C5&gt;=90,"A",C5&gt;=80,"B",C5&gt;=70,"C",C5&gt;=60,"D",TRUE,"F")</f>
        <v>B</v>
      </c>
      <c r="I5">
        <f t="shared" si="0"/>
        <v>83</v>
      </c>
      <c r="J5" t="str">
        <f t="shared" si="1"/>
        <v>Laila Mostafa — B — 83.00</v>
      </c>
      <c r="L5" t="s">
        <v>128</v>
      </c>
      <c r="M5">
        <f t="shared" si="2"/>
        <v>89</v>
      </c>
      <c r="N5" t="str" cm="1">
        <f t="array" ref="N5">_xlfn.IFS(C5&gt;=90,"A",C5&gt;=80,"B",C5&gt;=70,"C",C5&gt;=60,"D",C5&lt;60,"F")</f>
        <v>B</v>
      </c>
    </row>
    <row r="6" spans="1:14" x14ac:dyDescent="0.3">
      <c r="A6" t="s">
        <v>113</v>
      </c>
      <c r="B6" t="s">
        <v>114</v>
      </c>
      <c r="C6">
        <v>90</v>
      </c>
      <c r="D6">
        <v>95</v>
      </c>
      <c r="E6">
        <v>83</v>
      </c>
      <c r="F6">
        <v>58</v>
      </c>
      <c r="G6">
        <v>75</v>
      </c>
      <c r="H6" t="str" cm="1">
        <f t="array" ref="H6">_xlfn.IFS(C6&gt;=90,"A",C6&gt;=80,"B",C6&gt;=70,"C",C6&gt;=60,"D",TRUE,"F")</f>
        <v>A</v>
      </c>
      <c r="I6">
        <f t="shared" si="0"/>
        <v>80.2</v>
      </c>
      <c r="J6" t="str">
        <f t="shared" si="1"/>
        <v>Omar Nabil — A — 80.20</v>
      </c>
      <c r="L6" t="s">
        <v>129</v>
      </c>
      <c r="M6">
        <f t="shared" si="2"/>
        <v>96</v>
      </c>
      <c r="N6" t="str" cm="1">
        <f t="array" ref="N6">_xlfn.IFS(C6&gt;=90,"A",C6&gt;=80,"B",C6&gt;=70,"C",C6&gt;=60,"D",C6&lt;60,"F")</f>
        <v>A</v>
      </c>
    </row>
    <row r="7" spans="1:14" x14ac:dyDescent="0.3">
      <c r="A7" t="s">
        <v>115</v>
      </c>
      <c r="B7" t="s">
        <v>116</v>
      </c>
      <c r="C7">
        <v>97</v>
      </c>
      <c r="D7">
        <v>53</v>
      </c>
      <c r="E7">
        <v>88</v>
      </c>
      <c r="F7">
        <v>69</v>
      </c>
      <c r="G7">
        <v>78</v>
      </c>
      <c r="H7" t="str" cm="1">
        <f t="array" ref="H7">_xlfn.IFS(C7&gt;=90,"A",C7&gt;=80,"B",C7&gt;=70,"C",C7&gt;=60,"D",TRUE,"F")</f>
        <v>A</v>
      </c>
      <c r="I7">
        <f t="shared" si="0"/>
        <v>77</v>
      </c>
      <c r="J7" t="str">
        <f t="shared" si="1"/>
        <v>Sara Ahmed — A — 77.00</v>
      </c>
      <c r="L7" t="s">
        <v>130</v>
      </c>
      <c r="M7">
        <f t="shared" si="2"/>
        <v>57</v>
      </c>
      <c r="N7" t="str" cm="1">
        <f t="array" ref="N7">_xlfn.IFS(C7&gt;=90,"A",C7&gt;=80,"B",C7&gt;=70,"C",C7&gt;=60,"D",C7&lt;60,"F")</f>
        <v>A</v>
      </c>
    </row>
    <row r="8" spans="1:14" x14ac:dyDescent="0.3">
      <c r="A8" t="s">
        <v>117</v>
      </c>
      <c r="B8" t="s">
        <v>118</v>
      </c>
      <c r="C8">
        <v>58</v>
      </c>
      <c r="D8">
        <v>62</v>
      </c>
      <c r="E8">
        <v>93</v>
      </c>
      <c r="F8">
        <v>80</v>
      </c>
      <c r="G8">
        <v>81</v>
      </c>
      <c r="H8" t="str" cm="1">
        <f t="array" ref="H8">_xlfn.IFS(C8&gt;=90,"A",C8&gt;=80,"B",C8&gt;=70,"C",C8&gt;=60,"D",TRUE,"F")</f>
        <v>F</v>
      </c>
      <c r="I8">
        <f t="shared" si="0"/>
        <v>74.8</v>
      </c>
      <c r="J8" t="str">
        <f t="shared" si="1"/>
        <v>Youssef Tarek — F — 74.80</v>
      </c>
      <c r="L8" t="s">
        <v>131</v>
      </c>
      <c r="M8">
        <f t="shared" si="2"/>
        <v>64</v>
      </c>
      <c r="N8" t="str" cm="1">
        <f t="array" ref="N8">_xlfn.IFS(C8&gt;=90,"A",C8&gt;=80,"B",C8&gt;=70,"C",C8&gt;=60,"D",C8&lt;60,"F")</f>
        <v>F</v>
      </c>
    </row>
    <row r="9" spans="1:14" x14ac:dyDescent="0.3">
      <c r="A9" t="s">
        <v>119</v>
      </c>
      <c r="B9" t="s">
        <v>17</v>
      </c>
      <c r="C9">
        <v>65</v>
      </c>
      <c r="D9">
        <v>71</v>
      </c>
      <c r="E9">
        <v>98</v>
      </c>
      <c r="F9">
        <v>91</v>
      </c>
      <c r="G9">
        <v>84</v>
      </c>
      <c r="H9" t="str" cm="1">
        <f t="array" ref="H9">_xlfn.IFS(C9&gt;=90,"A",C9&gt;=80,"B",C9&gt;=70,"C",C9&gt;=60,"D",TRUE,"F")</f>
        <v>D</v>
      </c>
      <c r="I9">
        <f t="shared" si="0"/>
        <v>81.8</v>
      </c>
      <c r="J9" t="str">
        <f t="shared" si="1"/>
        <v>Nour Khaled — D — 81.80</v>
      </c>
      <c r="L9" t="s">
        <v>132</v>
      </c>
      <c r="M9">
        <f t="shared" si="2"/>
        <v>71</v>
      </c>
      <c r="N9" t="str" cm="1">
        <f t="array" ref="N9">_xlfn.IFS(C9&gt;=90,"A",C9&gt;=80,"B",C9&gt;=70,"C",C9&gt;=60,"D",C9&lt;60,"F")</f>
        <v>D</v>
      </c>
    </row>
    <row r="10" spans="1:14" x14ac:dyDescent="0.3">
      <c r="A10" t="s">
        <v>120</v>
      </c>
      <c r="B10" t="s">
        <v>106</v>
      </c>
      <c r="C10">
        <v>72</v>
      </c>
      <c r="D10">
        <v>80</v>
      </c>
      <c r="E10">
        <v>60</v>
      </c>
      <c r="F10">
        <v>53</v>
      </c>
      <c r="G10">
        <v>87</v>
      </c>
      <c r="H10" t="str" cm="1">
        <f t="array" ref="H10">_xlfn.IFS(C10&gt;=90,"A",C10&gt;=80,"B",C10&gt;=70,"C",C10&gt;=60,"D",TRUE,"F")</f>
        <v>C</v>
      </c>
      <c r="I10">
        <f t="shared" si="0"/>
        <v>70.400000000000006</v>
      </c>
      <c r="J10" t="str">
        <f t="shared" si="1"/>
        <v>Ali Hassan — C — 70.40</v>
      </c>
      <c r="L10" t="s">
        <v>133</v>
      </c>
      <c r="M10">
        <f t="shared" si="2"/>
        <v>78</v>
      </c>
      <c r="N10" t="str" cm="1">
        <f t="array" ref="N10">_xlfn.IFS(C10&gt;=90,"A",C10&gt;=80,"B",C10&gt;=70,"C",C10&gt;=60,"D",C10&lt;60,"F")</f>
        <v>C</v>
      </c>
    </row>
    <row r="11" spans="1:14" x14ac:dyDescent="0.3">
      <c r="A11" t="s">
        <v>121</v>
      </c>
      <c r="B11" t="s">
        <v>109</v>
      </c>
      <c r="C11">
        <v>79</v>
      </c>
      <c r="D11">
        <v>89</v>
      </c>
      <c r="E11">
        <v>65</v>
      </c>
      <c r="F11">
        <v>64</v>
      </c>
      <c r="G11">
        <v>90</v>
      </c>
      <c r="H11" t="str" cm="1">
        <f t="array" ref="H11">_xlfn.IFS(C11&gt;=90,"A",C11&gt;=80,"B",C11&gt;=70,"C",C11&gt;=60,"D",TRUE,"F")</f>
        <v>C</v>
      </c>
      <c r="I11">
        <f t="shared" si="0"/>
        <v>77.400000000000006</v>
      </c>
      <c r="J11" t="str">
        <f t="shared" si="1"/>
        <v>Mona Adel — C — 77.40</v>
      </c>
      <c r="L11" t="s">
        <v>134</v>
      </c>
      <c r="M11">
        <f t="shared" si="2"/>
        <v>85</v>
      </c>
      <c r="N11" t="str" cm="1">
        <f t="array" ref="N11">_xlfn.IFS(C11&gt;=90,"A",C11&gt;=80,"B",C11&gt;=70,"C",C11&gt;=60,"D",C11&lt;60,"F")</f>
        <v>C</v>
      </c>
    </row>
    <row r="12" spans="1:14" x14ac:dyDescent="0.3">
      <c r="A12" t="s">
        <v>122</v>
      </c>
      <c r="B12" t="s">
        <v>111</v>
      </c>
      <c r="C12">
        <v>86</v>
      </c>
      <c r="D12">
        <v>98</v>
      </c>
      <c r="E12">
        <v>70</v>
      </c>
      <c r="F12">
        <v>75</v>
      </c>
      <c r="G12">
        <v>93</v>
      </c>
      <c r="H12" t="str" cm="1">
        <f t="array" ref="H12">_xlfn.IFS(C12&gt;=90,"A",C12&gt;=80,"B",C12&gt;=70,"C",C12&gt;=60,"D",TRUE,"F")</f>
        <v>B</v>
      </c>
      <c r="I12">
        <f t="shared" si="0"/>
        <v>84.4</v>
      </c>
      <c r="J12" t="str">
        <f t="shared" si="1"/>
        <v>Karim Samir — B — 84.40</v>
      </c>
      <c r="L12" t="s">
        <v>135</v>
      </c>
      <c r="M12">
        <f t="shared" si="2"/>
        <v>92</v>
      </c>
      <c r="N12" t="str" cm="1">
        <f t="array" ref="N12">_xlfn.IFS(C12&gt;=90,"A",C12&gt;=80,"B",C12&gt;=70,"C",C12&gt;=60,"D",C12&lt;60,"F")</f>
        <v>B</v>
      </c>
    </row>
    <row r="13" spans="1:14" x14ac:dyDescent="0.3">
      <c r="A13" t="s">
        <v>123</v>
      </c>
      <c r="B13" t="s">
        <v>22</v>
      </c>
      <c r="C13">
        <v>93</v>
      </c>
      <c r="D13">
        <v>56</v>
      </c>
      <c r="E13">
        <v>75</v>
      </c>
      <c r="F13">
        <v>86</v>
      </c>
      <c r="G13">
        <v>96</v>
      </c>
      <c r="H13" t="str" cm="1">
        <f t="array" ref="H13">_xlfn.IFS(C13&gt;=90,"A",C13&gt;=80,"B",C13&gt;=70,"C",C13&gt;=60,"D",TRUE,"F")</f>
        <v>A</v>
      </c>
      <c r="I13">
        <f t="shared" si="0"/>
        <v>81.2</v>
      </c>
      <c r="J13" t="str">
        <f t="shared" si="1"/>
        <v>Laila Mostafa — A — 81.20</v>
      </c>
      <c r="L13" t="s">
        <v>136</v>
      </c>
      <c r="M13">
        <f t="shared" si="2"/>
        <v>99</v>
      </c>
      <c r="N13" t="str" cm="1">
        <f t="array" ref="N13">_xlfn.IFS(C13&gt;=90,"A",C13&gt;=80,"B",C13&gt;=70,"C",C13&gt;=60,"D",C13&lt;60,"F")</f>
        <v>A</v>
      </c>
    </row>
    <row r="14" spans="1:14" x14ac:dyDescent="0.3">
      <c r="A14" t="s">
        <v>124</v>
      </c>
      <c r="B14" t="s">
        <v>114</v>
      </c>
      <c r="C14">
        <v>100</v>
      </c>
      <c r="D14">
        <v>65</v>
      </c>
      <c r="E14">
        <v>80</v>
      </c>
      <c r="F14">
        <v>97</v>
      </c>
      <c r="G14">
        <v>99</v>
      </c>
      <c r="H14" t="str" cm="1">
        <f t="array" ref="H14">_xlfn.IFS(C14&gt;=90,"A",C14&gt;=80,"B",C14&gt;=70,"C",C14&gt;=60,"D",TRUE,"F")</f>
        <v>A</v>
      </c>
      <c r="I14">
        <f t="shared" si="0"/>
        <v>88.2</v>
      </c>
      <c r="J14" t="str">
        <f t="shared" si="1"/>
        <v>Omar Nabil — A — 88.20</v>
      </c>
      <c r="L14" t="s">
        <v>137</v>
      </c>
      <c r="M14">
        <f t="shared" si="2"/>
        <v>60</v>
      </c>
      <c r="N14" t="str" cm="1">
        <f t="array" ref="N14">_xlfn.IFS(C14&gt;=90,"A",C14&gt;=80,"B",C14&gt;=70,"C",C14&gt;=60,"D",C14&lt;60,"F")</f>
        <v>A</v>
      </c>
    </row>
    <row r="15" spans="1:14" x14ac:dyDescent="0.3">
      <c r="A15" t="s">
        <v>125</v>
      </c>
      <c r="B15" t="s">
        <v>116</v>
      </c>
      <c r="C15">
        <v>61</v>
      </c>
      <c r="D15">
        <v>74</v>
      </c>
      <c r="E15">
        <v>85</v>
      </c>
      <c r="F15">
        <v>59</v>
      </c>
      <c r="G15">
        <v>61</v>
      </c>
      <c r="H15" t="str" cm="1">
        <f t="array" ref="H15">_xlfn.IFS(C15&gt;=90,"A",C15&gt;=80,"B",C15&gt;=70,"C",C15&gt;=60,"D",TRUE,"F")</f>
        <v>D</v>
      </c>
      <c r="I15">
        <f t="shared" si="0"/>
        <v>68</v>
      </c>
      <c r="J15" t="str">
        <f t="shared" si="1"/>
        <v>Sara Ahmed — D — 68.00</v>
      </c>
      <c r="L15" t="s">
        <v>138</v>
      </c>
      <c r="M15">
        <f t="shared" si="2"/>
        <v>67</v>
      </c>
      <c r="N15" t="str" cm="1">
        <f t="array" ref="N15">_xlfn.IFS(C15&gt;=90,"A",C15&gt;=80,"B",C15&gt;=70,"C",C15&gt;=60,"D",C15&lt;60,"F")</f>
        <v>D</v>
      </c>
    </row>
    <row r="16" spans="1:14" x14ac:dyDescent="0.3">
      <c r="A16" t="s">
        <v>107</v>
      </c>
      <c r="B16" t="s">
        <v>118</v>
      </c>
      <c r="C16">
        <v>68</v>
      </c>
      <c r="D16">
        <v>83</v>
      </c>
      <c r="E16">
        <v>90</v>
      </c>
      <c r="F16">
        <v>70</v>
      </c>
      <c r="G16">
        <v>64</v>
      </c>
      <c r="H16" t="str" cm="1">
        <f t="array" ref="H16">_xlfn.IFS(C16&gt;=90,"A",C16&gt;=80,"B",C16&gt;=70,"C",C16&gt;=60,"D",TRUE,"F")</f>
        <v>D</v>
      </c>
      <c r="I16">
        <f t="shared" si="0"/>
        <v>75</v>
      </c>
      <c r="J16" t="str">
        <f t="shared" si="1"/>
        <v>Youssef Tarek — D — 75.00</v>
      </c>
      <c r="L16" t="s">
        <v>139</v>
      </c>
      <c r="M16">
        <f t="shared" si="2"/>
        <v>74</v>
      </c>
      <c r="N16" t="str" cm="1">
        <f t="array" ref="N16">_xlfn.IFS(C16&gt;=90,"A",C16&gt;=80,"B",C16&gt;=70,"C",C16&gt;=60,"D",C16&lt;60,"F")</f>
        <v>D</v>
      </c>
    </row>
    <row r="17" spans="1:14" x14ac:dyDescent="0.3">
      <c r="A17" t="s">
        <v>126</v>
      </c>
      <c r="B17" t="s">
        <v>17</v>
      </c>
      <c r="C17">
        <v>75</v>
      </c>
      <c r="D17">
        <v>92</v>
      </c>
      <c r="E17">
        <v>95</v>
      </c>
      <c r="F17">
        <v>81</v>
      </c>
      <c r="G17">
        <v>67</v>
      </c>
      <c r="H17" t="str" cm="1">
        <f t="array" ref="H17">_xlfn.IFS(C17&gt;=90,"A",C17&gt;=80,"B",C17&gt;=70,"C",C17&gt;=60,"D",TRUE,"F")</f>
        <v>C</v>
      </c>
      <c r="I17">
        <f t="shared" si="0"/>
        <v>82</v>
      </c>
      <c r="J17" t="str">
        <f t="shared" si="1"/>
        <v>Nour Khaled — C — 82.00</v>
      </c>
      <c r="L17" t="s">
        <v>140</v>
      </c>
      <c r="M17">
        <f t="shared" si="2"/>
        <v>81</v>
      </c>
      <c r="N17" t="str" cm="1">
        <f t="array" ref="N17">_xlfn.IFS(C17&gt;=90,"A",C17&gt;=80,"B",C17&gt;=70,"C",C17&gt;=60,"D",C17&lt;60,"F")</f>
        <v>C</v>
      </c>
    </row>
    <row r="18" spans="1:14" x14ac:dyDescent="0.3">
      <c r="A18" t="s">
        <v>127</v>
      </c>
      <c r="B18" t="s">
        <v>106</v>
      </c>
      <c r="C18">
        <v>82</v>
      </c>
      <c r="D18">
        <v>50</v>
      </c>
      <c r="E18">
        <v>100</v>
      </c>
      <c r="F18">
        <v>92</v>
      </c>
      <c r="G18">
        <v>70</v>
      </c>
      <c r="H18" t="str" cm="1">
        <f t="array" ref="H18">_xlfn.IFS(C18&gt;=90,"A",C18&gt;=80,"B",C18&gt;=70,"C",C18&gt;=60,"D",TRUE,"F")</f>
        <v>B</v>
      </c>
      <c r="I18">
        <f t="shared" si="0"/>
        <v>78.8</v>
      </c>
      <c r="J18" t="str">
        <f t="shared" si="1"/>
        <v>Ali Hassan — B — 78.80</v>
      </c>
      <c r="L18" t="s">
        <v>141</v>
      </c>
      <c r="M18">
        <f t="shared" si="2"/>
        <v>88</v>
      </c>
      <c r="N18" t="str" cm="1">
        <f t="array" ref="N18">_xlfn.IFS(C18&gt;=90,"A",C18&gt;=80,"B",C18&gt;=70,"C",C18&gt;=60,"D",C18&lt;60,"F")</f>
        <v>B</v>
      </c>
    </row>
    <row r="19" spans="1:14" x14ac:dyDescent="0.3">
      <c r="A19" t="s">
        <v>128</v>
      </c>
      <c r="B19" t="s">
        <v>109</v>
      </c>
      <c r="C19">
        <v>89</v>
      </c>
      <c r="D19">
        <v>59</v>
      </c>
      <c r="E19">
        <v>62</v>
      </c>
      <c r="F19">
        <v>54</v>
      </c>
      <c r="G19">
        <v>73</v>
      </c>
      <c r="H19" t="str" cm="1">
        <f t="array" ref="H19">_xlfn.IFS(C19&gt;=90,"A",C19&gt;=80,"B",C19&gt;=70,"C",C19&gt;=60,"D",TRUE,"F")</f>
        <v>B</v>
      </c>
      <c r="I19">
        <f t="shared" si="0"/>
        <v>67.400000000000006</v>
      </c>
      <c r="J19" t="str">
        <f t="shared" si="1"/>
        <v>Mona Adel — B — 67.40</v>
      </c>
      <c r="L19" t="s">
        <v>142</v>
      </c>
      <c r="M19">
        <f t="shared" si="2"/>
        <v>95</v>
      </c>
      <c r="N19" t="str" cm="1">
        <f t="array" ref="N19">_xlfn.IFS(C19&gt;=90,"A",C19&gt;=80,"B",C19&gt;=70,"C",C19&gt;=60,"D",C19&lt;60,"F")</f>
        <v>B</v>
      </c>
    </row>
    <row r="20" spans="1:14" x14ac:dyDescent="0.3">
      <c r="A20" t="s">
        <v>129</v>
      </c>
      <c r="B20" t="s">
        <v>111</v>
      </c>
      <c r="C20">
        <v>96</v>
      </c>
      <c r="D20">
        <v>68</v>
      </c>
      <c r="E20">
        <v>67</v>
      </c>
      <c r="F20">
        <v>65</v>
      </c>
      <c r="G20">
        <v>76</v>
      </c>
      <c r="H20" t="str" cm="1">
        <f t="array" ref="H20">_xlfn.IFS(C20&gt;=90,"A",C20&gt;=80,"B",C20&gt;=70,"C",C20&gt;=60,"D",TRUE,"F")</f>
        <v>A</v>
      </c>
      <c r="I20">
        <f t="shared" si="0"/>
        <v>74.400000000000006</v>
      </c>
      <c r="J20" t="str">
        <f t="shared" si="1"/>
        <v>Karim Samir — A — 74.40</v>
      </c>
      <c r="L20" t="s">
        <v>143</v>
      </c>
      <c r="M20">
        <f t="shared" si="2"/>
        <v>56</v>
      </c>
      <c r="N20" t="str" cm="1">
        <f t="array" ref="N20">_xlfn.IFS(C20&gt;=90,"A",C20&gt;=80,"B",C20&gt;=70,"C",C20&gt;=60,"D",C20&lt;60,"F")</f>
        <v>A</v>
      </c>
    </row>
    <row r="21" spans="1:14" x14ac:dyDescent="0.3">
      <c r="A21" t="s">
        <v>130</v>
      </c>
      <c r="B21" t="s">
        <v>22</v>
      </c>
      <c r="C21">
        <v>57</v>
      </c>
      <c r="D21">
        <v>77</v>
      </c>
      <c r="E21">
        <v>72</v>
      </c>
      <c r="F21">
        <v>76</v>
      </c>
      <c r="G21">
        <v>79</v>
      </c>
      <c r="H21" t="str" cm="1">
        <f t="array" ref="H21">_xlfn.IFS(C21&gt;=90,"A",C21&gt;=80,"B",C21&gt;=70,"C",C21&gt;=60,"D",TRUE,"F")</f>
        <v>F</v>
      </c>
      <c r="I21">
        <f t="shared" si="0"/>
        <v>72.2</v>
      </c>
      <c r="J21" t="str">
        <f t="shared" si="1"/>
        <v>Laila Mostafa — F — 72.20</v>
      </c>
      <c r="L21" t="s">
        <v>144</v>
      </c>
      <c r="M21">
        <f t="shared" si="2"/>
        <v>63</v>
      </c>
      <c r="N21" t="str" cm="1">
        <f t="array" ref="N21">_xlfn.IFS(C21&gt;=90,"A",C21&gt;=80,"B",C21&gt;=70,"C",C21&gt;=60,"D",C21&lt;60,"F")</f>
        <v>F</v>
      </c>
    </row>
    <row r="22" spans="1:14" x14ac:dyDescent="0.3">
      <c r="A22" t="s">
        <v>131</v>
      </c>
      <c r="B22" t="s">
        <v>114</v>
      </c>
      <c r="C22">
        <v>64</v>
      </c>
      <c r="D22">
        <v>86</v>
      </c>
      <c r="E22">
        <v>77</v>
      </c>
      <c r="F22">
        <v>87</v>
      </c>
      <c r="G22">
        <v>82</v>
      </c>
      <c r="H22" t="str" cm="1">
        <f t="array" ref="H22">_xlfn.IFS(C22&gt;=90,"A",C22&gt;=80,"B",C22&gt;=70,"C",C22&gt;=60,"D",TRUE,"F")</f>
        <v>D</v>
      </c>
      <c r="I22">
        <f t="shared" si="0"/>
        <v>79.2</v>
      </c>
      <c r="J22" t="str">
        <f t="shared" si="1"/>
        <v>Omar Nabil — D — 79.20</v>
      </c>
      <c r="L22" t="s">
        <v>145</v>
      </c>
      <c r="M22">
        <f t="shared" si="2"/>
        <v>70</v>
      </c>
      <c r="N22" t="str" cm="1">
        <f t="array" ref="N22">_xlfn.IFS(C22&gt;=90,"A",C22&gt;=80,"B",C22&gt;=70,"C",C22&gt;=60,"D",C22&lt;60,"F")</f>
        <v>D</v>
      </c>
    </row>
    <row r="23" spans="1:14" x14ac:dyDescent="0.3">
      <c r="A23" t="s">
        <v>132</v>
      </c>
      <c r="B23" t="s">
        <v>116</v>
      </c>
      <c r="C23">
        <v>71</v>
      </c>
      <c r="D23">
        <v>95</v>
      </c>
      <c r="E23">
        <v>82</v>
      </c>
      <c r="F23">
        <v>98</v>
      </c>
      <c r="G23">
        <v>85</v>
      </c>
      <c r="H23" t="str" cm="1">
        <f t="array" ref="H23">_xlfn.IFS(C23&gt;=90,"A",C23&gt;=80,"B",C23&gt;=70,"C",C23&gt;=60,"D",TRUE,"F")</f>
        <v>C</v>
      </c>
      <c r="I23">
        <f t="shared" si="0"/>
        <v>86.2</v>
      </c>
      <c r="J23" t="str">
        <f t="shared" si="1"/>
        <v>Sara Ahmed — C — 86.20</v>
      </c>
      <c r="L23" t="s">
        <v>146</v>
      </c>
      <c r="M23">
        <f t="shared" si="2"/>
        <v>77</v>
      </c>
      <c r="N23" t="str" cm="1">
        <f t="array" ref="N23">_xlfn.IFS(C23&gt;=90,"A",C23&gt;=80,"B",C23&gt;=70,"C",C23&gt;=60,"D",C23&lt;60,"F")</f>
        <v>C</v>
      </c>
    </row>
    <row r="24" spans="1:14" x14ac:dyDescent="0.3">
      <c r="A24" t="s">
        <v>133</v>
      </c>
      <c r="B24" t="s">
        <v>118</v>
      </c>
      <c r="C24">
        <v>78</v>
      </c>
      <c r="D24">
        <v>53</v>
      </c>
      <c r="E24">
        <v>87</v>
      </c>
      <c r="F24">
        <v>60</v>
      </c>
      <c r="G24">
        <v>88</v>
      </c>
      <c r="H24" t="str" cm="1">
        <f t="array" ref="H24">_xlfn.IFS(C24&gt;=90,"A",C24&gt;=80,"B",C24&gt;=70,"C",C24&gt;=60,"D",TRUE,"F")</f>
        <v>C</v>
      </c>
      <c r="I24">
        <f t="shared" si="0"/>
        <v>73.2</v>
      </c>
      <c r="J24" t="str">
        <f t="shared" si="1"/>
        <v>Youssef Tarek — C — 73.20</v>
      </c>
      <c r="L24" t="s">
        <v>147</v>
      </c>
      <c r="M24">
        <f t="shared" si="2"/>
        <v>84</v>
      </c>
      <c r="N24" t="str" cm="1">
        <f t="array" ref="N24">_xlfn.IFS(C24&gt;=90,"A",C24&gt;=80,"B",C24&gt;=70,"C",C24&gt;=60,"D",C24&lt;60,"F")</f>
        <v>C</v>
      </c>
    </row>
    <row r="25" spans="1:14" x14ac:dyDescent="0.3">
      <c r="A25" t="s">
        <v>134</v>
      </c>
      <c r="B25" t="s">
        <v>17</v>
      </c>
      <c r="C25">
        <v>85</v>
      </c>
      <c r="D25">
        <v>62</v>
      </c>
      <c r="E25">
        <v>92</v>
      </c>
      <c r="F25">
        <v>71</v>
      </c>
      <c r="G25">
        <v>91</v>
      </c>
      <c r="H25" t="str" cm="1">
        <f t="array" ref="H25">_xlfn.IFS(C25&gt;=90,"A",C25&gt;=80,"B",C25&gt;=70,"C",C25&gt;=60,"D",TRUE,"F")</f>
        <v>B</v>
      </c>
      <c r="I25">
        <f t="shared" si="0"/>
        <v>80.2</v>
      </c>
      <c r="J25" t="str">
        <f t="shared" si="1"/>
        <v>Nour Khaled — B — 80.20</v>
      </c>
      <c r="L25" t="s">
        <v>148</v>
      </c>
      <c r="M25">
        <f t="shared" si="2"/>
        <v>91</v>
      </c>
      <c r="N25" t="str" cm="1">
        <f t="array" ref="N25">_xlfn.IFS(C25&gt;=90,"A",C25&gt;=80,"B",C25&gt;=70,"C",C25&gt;=60,"D",C25&lt;60,"F")</f>
        <v>B</v>
      </c>
    </row>
    <row r="26" spans="1:14" x14ac:dyDescent="0.3">
      <c r="A26" t="s">
        <v>135</v>
      </c>
      <c r="B26" t="s">
        <v>106</v>
      </c>
      <c r="C26">
        <v>92</v>
      </c>
      <c r="D26">
        <v>71</v>
      </c>
      <c r="E26">
        <v>97</v>
      </c>
      <c r="F26">
        <v>82</v>
      </c>
      <c r="G26">
        <v>94</v>
      </c>
      <c r="H26" t="str" cm="1">
        <f t="array" ref="H26">_xlfn.IFS(C26&gt;=90,"A",C26&gt;=80,"B",C26&gt;=70,"C",C26&gt;=60,"D",TRUE,"F")</f>
        <v>A</v>
      </c>
      <c r="I26">
        <f t="shared" si="0"/>
        <v>87.2</v>
      </c>
      <c r="J26" t="str">
        <f t="shared" si="1"/>
        <v>Ali Hassan — A — 87.20</v>
      </c>
      <c r="L26" t="s">
        <v>149</v>
      </c>
      <c r="M26">
        <f t="shared" si="2"/>
        <v>98</v>
      </c>
      <c r="N26" t="str" cm="1">
        <f t="array" ref="N26">_xlfn.IFS(C26&gt;=90,"A",C26&gt;=80,"B",C26&gt;=70,"C",C26&gt;=60,"D",C26&lt;60,"F")</f>
        <v>A</v>
      </c>
    </row>
    <row r="27" spans="1:14" x14ac:dyDescent="0.3">
      <c r="A27" t="s">
        <v>136</v>
      </c>
      <c r="B27" t="s">
        <v>109</v>
      </c>
      <c r="C27">
        <v>99</v>
      </c>
      <c r="D27">
        <v>80</v>
      </c>
      <c r="E27">
        <v>59</v>
      </c>
      <c r="F27">
        <v>93</v>
      </c>
      <c r="G27">
        <v>97</v>
      </c>
      <c r="H27" t="str" cm="1">
        <f t="array" ref="H27">_xlfn.IFS(C27&gt;=90,"A",C27&gt;=80,"B",C27&gt;=70,"C",C27&gt;=60,"D",TRUE,"F")</f>
        <v>A</v>
      </c>
      <c r="I27">
        <f t="shared" si="0"/>
        <v>85.6</v>
      </c>
      <c r="J27" t="str">
        <f t="shared" si="1"/>
        <v>Mona Adel — A — 85.60</v>
      </c>
      <c r="L27" t="s">
        <v>150</v>
      </c>
      <c r="M27">
        <f t="shared" si="2"/>
        <v>59</v>
      </c>
      <c r="N27" t="str" cm="1">
        <f t="array" ref="N27">_xlfn.IFS(C27&gt;=90,"A",C27&gt;=80,"B",C27&gt;=70,"C",C27&gt;=60,"D",C27&lt;60,"F")</f>
        <v>A</v>
      </c>
    </row>
    <row r="28" spans="1:14" x14ac:dyDescent="0.3">
      <c r="A28" t="s">
        <v>137</v>
      </c>
      <c r="B28" t="s">
        <v>111</v>
      </c>
      <c r="C28">
        <v>60</v>
      </c>
      <c r="D28">
        <v>89</v>
      </c>
      <c r="E28">
        <v>64</v>
      </c>
      <c r="F28">
        <v>55</v>
      </c>
      <c r="G28">
        <v>100</v>
      </c>
      <c r="H28" t="str" cm="1">
        <f t="array" ref="H28">_xlfn.IFS(C28&gt;=90,"A",C28&gt;=80,"B",C28&gt;=70,"C",C28&gt;=60,"D",TRUE,"F")</f>
        <v>D</v>
      </c>
      <c r="I28">
        <f t="shared" si="0"/>
        <v>73.599999999999994</v>
      </c>
      <c r="J28" t="str">
        <f t="shared" si="1"/>
        <v>Karim Samir — D — 73.60</v>
      </c>
      <c r="L28" t="s">
        <v>364</v>
      </c>
      <c r="M28" t="str">
        <f t="shared" si="2"/>
        <v>Not Found</v>
      </c>
      <c r="N28" t="str" cm="1">
        <f t="array" ref="N28">_xlfn.IFS(C28&gt;=90,"A",C28&gt;=80,"B",C28&gt;=70,"C",C28&gt;=60,"D",C28&lt;60,"F")</f>
        <v>D</v>
      </c>
    </row>
    <row r="29" spans="1:14" x14ac:dyDescent="0.3">
      <c r="A29" t="s">
        <v>138</v>
      </c>
      <c r="B29" t="s">
        <v>22</v>
      </c>
      <c r="C29">
        <v>67</v>
      </c>
      <c r="D29">
        <v>98</v>
      </c>
      <c r="E29">
        <v>69</v>
      </c>
      <c r="F29">
        <v>66</v>
      </c>
      <c r="G29">
        <v>62</v>
      </c>
      <c r="H29" t="str" cm="1">
        <f t="array" ref="H29">_xlfn.IFS(C29&gt;=90,"A",C29&gt;=80,"B",C29&gt;=70,"C",C29&gt;=60,"D",TRUE,"F")</f>
        <v>D</v>
      </c>
      <c r="I29">
        <f t="shared" si="0"/>
        <v>72.400000000000006</v>
      </c>
      <c r="J29" t="str">
        <f t="shared" si="1"/>
        <v>Laila Mostafa — D — 72.40</v>
      </c>
      <c r="L29" t="s">
        <v>365</v>
      </c>
      <c r="M29" t="str">
        <f t="shared" si="2"/>
        <v>Not Found</v>
      </c>
      <c r="N29" t="str" cm="1">
        <f t="array" ref="N29">_xlfn.IFS(C29&gt;=90,"A",C29&gt;=80,"B",C29&gt;=70,"C",C29&gt;=60,"D",C29&lt;60,"F")</f>
        <v>D</v>
      </c>
    </row>
    <row r="30" spans="1:14" x14ac:dyDescent="0.3">
      <c r="A30" t="s">
        <v>139</v>
      </c>
      <c r="B30" t="s">
        <v>114</v>
      </c>
      <c r="C30">
        <v>74</v>
      </c>
      <c r="D30">
        <v>56</v>
      </c>
      <c r="E30">
        <v>74</v>
      </c>
      <c r="F30">
        <v>77</v>
      </c>
      <c r="G30">
        <v>65</v>
      </c>
      <c r="H30" t="str" cm="1">
        <f t="array" ref="H30">_xlfn.IFS(C30&gt;=90,"A",C30&gt;=80,"B",C30&gt;=70,"C",C30&gt;=60,"D",TRUE,"F")</f>
        <v>C</v>
      </c>
      <c r="I30">
        <f t="shared" si="0"/>
        <v>69.2</v>
      </c>
      <c r="J30" t="str">
        <f t="shared" si="1"/>
        <v>Omar Nabil — C — 69.20</v>
      </c>
      <c r="L30" t="s">
        <v>366</v>
      </c>
      <c r="M30" t="str">
        <f t="shared" si="2"/>
        <v>Not Found</v>
      </c>
      <c r="N30" t="str" cm="1">
        <f t="array" ref="N30">_xlfn.IFS(C30&gt;=90,"A",C30&gt;=80,"B",C30&gt;=70,"C",C30&gt;=60,"D",C30&lt;60,"F")</f>
        <v>C</v>
      </c>
    </row>
    <row r="31" spans="1:14" x14ac:dyDescent="0.3">
      <c r="A31" t="s">
        <v>140</v>
      </c>
      <c r="B31" t="s">
        <v>116</v>
      </c>
      <c r="C31">
        <v>81</v>
      </c>
      <c r="D31">
        <v>65</v>
      </c>
      <c r="E31">
        <v>79</v>
      </c>
      <c r="F31">
        <v>88</v>
      </c>
      <c r="G31">
        <v>68</v>
      </c>
      <c r="H31" t="str" cm="1">
        <f t="array" ref="H31">_xlfn.IFS(C31&gt;=90,"A",C31&gt;=80,"B",C31&gt;=70,"C",C31&gt;=60,"D",TRUE,"F")</f>
        <v>B</v>
      </c>
      <c r="I31">
        <f t="shared" si="0"/>
        <v>76.2</v>
      </c>
      <c r="J31" t="str">
        <f t="shared" si="1"/>
        <v>Sara Ahmed — B — 76.20</v>
      </c>
      <c r="L31" t="s">
        <v>367</v>
      </c>
      <c r="M31" t="str">
        <f t="shared" si="2"/>
        <v>Not Found</v>
      </c>
      <c r="N31" t="str" cm="1">
        <f t="array" ref="N31">_xlfn.IFS(C31&gt;=90,"A",C31&gt;=80,"B",C31&gt;=70,"C",C31&gt;=60,"D",C31&lt;60,"F")</f>
        <v>B</v>
      </c>
    </row>
    <row r="32" spans="1:14" x14ac:dyDescent="0.3">
      <c r="A32" t="s">
        <v>141</v>
      </c>
      <c r="B32" t="s">
        <v>118</v>
      </c>
      <c r="C32">
        <v>88</v>
      </c>
      <c r="D32">
        <v>74</v>
      </c>
      <c r="E32">
        <v>84</v>
      </c>
      <c r="F32">
        <v>99</v>
      </c>
      <c r="G32">
        <v>71</v>
      </c>
      <c r="H32" t="str" cm="1">
        <f t="array" ref="H32">_xlfn.IFS(C32&gt;=90,"A",C32&gt;=80,"B",C32&gt;=70,"C",C32&gt;=60,"D",TRUE,"F")</f>
        <v>B</v>
      </c>
      <c r="I32">
        <f t="shared" si="0"/>
        <v>83.2</v>
      </c>
      <c r="J32" t="str">
        <f t="shared" si="1"/>
        <v>Youssef Tarek — B — 83.20</v>
      </c>
      <c r="L32" t="s">
        <v>368</v>
      </c>
      <c r="M32" t="str">
        <f t="shared" si="2"/>
        <v>Not Found</v>
      </c>
      <c r="N32" t="str" cm="1">
        <f t="array" ref="N32">_xlfn.IFS(C32&gt;=90,"A",C32&gt;=80,"B",C32&gt;=70,"C",C32&gt;=60,"D",C32&lt;60,"F")</f>
        <v>B</v>
      </c>
    </row>
    <row r="33" spans="1:14" x14ac:dyDescent="0.3">
      <c r="A33" t="s">
        <v>142</v>
      </c>
      <c r="B33" t="s">
        <v>17</v>
      </c>
      <c r="C33">
        <v>95</v>
      </c>
      <c r="D33">
        <v>83</v>
      </c>
      <c r="E33">
        <v>89</v>
      </c>
      <c r="F33">
        <v>61</v>
      </c>
      <c r="G33">
        <v>74</v>
      </c>
      <c r="H33" t="str" cm="1">
        <f t="array" ref="H33">_xlfn.IFS(C33&gt;=90,"A",C33&gt;=80,"B",C33&gt;=70,"C",C33&gt;=60,"D",TRUE,"F")</f>
        <v>A</v>
      </c>
      <c r="I33">
        <f t="shared" si="0"/>
        <v>80.400000000000006</v>
      </c>
      <c r="J33" t="str">
        <f t="shared" si="1"/>
        <v>Nour Khaled — A — 80.40</v>
      </c>
      <c r="L33" t="s">
        <v>369</v>
      </c>
      <c r="M33" t="str">
        <f t="shared" si="2"/>
        <v>Not Found</v>
      </c>
      <c r="N33" t="str" cm="1">
        <f t="array" ref="N33">_xlfn.IFS(C33&gt;=90,"A",C33&gt;=80,"B",C33&gt;=70,"C",C33&gt;=60,"D",C33&lt;60,"F")</f>
        <v>A</v>
      </c>
    </row>
    <row r="34" spans="1:14" x14ac:dyDescent="0.3">
      <c r="A34" t="s">
        <v>143</v>
      </c>
      <c r="B34" t="s">
        <v>106</v>
      </c>
      <c r="C34">
        <v>56</v>
      </c>
      <c r="D34">
        <v>92</v>
      </c>
      <c r="E34">
        <v>94</v>
      </c>
      <c r="F34">
        <v>72</v>
      </c>
      <c r="G34">
        <v>77</v>
      </c>
      <c r="H34" t="str" cm="1">
        <f t="array" ref="H34">_xlfn.IFS(C34&gt;=90,"A",C34&gt;=80,"B",C34&gt;=70,"C",C34&gt;=60,"D",TRUE,"F")</f>
        <v>F</v>
      </c>
      <c r="I34">
        <f t="shared" si="0"/>
        <v>78.2</v>
      </c>
      <c r="J34" t="str">
        <f t="shared" si="1"/>
        <v>Ali Hassan — F — 78.20</v>
      </c>
      <c r="L34" t="s">
        <v>370</v>
      </c>
      <c r="M34" t="str">
        <f t="shared" si="2"/>
        <v>Not Found</v>
      </c>
      <c r="N34" t="str" cm="1">
        <f t="array" ref="N34">_xlfn.IFS(C34&gt;=90,"A",C34&gt;=80,"B",C34&gt;=70,"C",C34&gt;=60,"D",C34&lt;60,"F")</f>
        <v>F</v>
      </c>
    </row>
    <row r="35" spans="1:14" x14ac:dyDescent="0.3">
      <c r="A35" t="s">
        <v>144</v>
      </c>
      <c r="B35" t="s">
        <v>109</v>
      </c>
      <c r="C35">
        <v>63</v>
      </c>
      <c r="D35">
        <v>50</v>
      </c>
      <c r="E35">
        <v>99</v>
      </c>
      <c r="F35">
        <v>83</v>
      </c>
      <c r="G35">
        <v>80</v>
      </c>
      <c r="H35" t="str" cm="1">
        <f t="array" ref="H35">_xlfn.IFS(C35&gt;=90,"A",C35&gt;=80,"B",C35&gt;=70,"C",C35&gt;=60,"D",TRUE,"F")</f>
        <v>D</v>
      </c>
      <c r="I35">
        <f t="shared" si="0"/>
        <v>75</v>
      </c>
      <c r="J35" t="str">
        <f t="shared" si="1"/>
        <v>Mona Adel — D — 75.00</v>
      </c>
      <c r="L35" t="s">
        <v>371</v>
      </c>
      <c r="M35" t="str">
        <f t="shared" si="2"/>
        <v>Not Found</v>
      </c>
      <c r="N35" t="str" cm="1">
        <f t="array" ref="N35">_xlfn.IFS(C35&gt;=90,"A",C35&gt;=80,"B",C35&gt;=70,"C",C35&gt;=60,"D",C35&lt;60,"F")</f>
        <v>D</v>
      </c>
    </row>
    <row r="36" spans="1:14" x14ac:dyDescent="0.3">
      <c r="A36" t="s">
        <v>145</v>
      </c>
      <c r="B36" t="s">
        <v>111</v>
      </c>
      <c r="C36">
        <v>70</v>
      </c>
      <c r="D36">
        <v>59</v>
      </c>
      <c r="E36">
        <v>61</v>
      </c>
      <c r="F36">
        <v>94</v>
      </c>
      <c r="G36">
        <v>83</v>
      </c>
      <c r="H36" t="str" cm="1">
        <f t="array" ref="H36">_xlfn.IFS(C36&gt;=90,"A",C36&gt;=80,"B",C36&gt;=70,"C",C36&gt;=60,"D",TRUE,"F")</f>
        <v>C</v>
      </c>
      <c r="I36">
        <f t="shared" si="0"/>
        <v>73.400000000000006</v>
      </c>
      <c r="J36" t="str">
        <f t="shared" si="1"/>
        <v>Karim Samir — C — 73.40</v>
      </c>
      <c r="L36" t="s">
        <v>372</v>
      </c>
      <c r="M36" t="str">
        <f t="shared" si="2"/>
        <v>Not Found</v>
      </c>
      <c r="N36" t="str" cm="1">
        <f t="array" ref="N36">_xlfn.IFS(C36&gt;=90,"A",C36&gt;=80,"B",C36&gt;=70,"C",C36&gt;=60,"D",C36&lt;60,"F")</f>
        <v>C</v>
      </c>
    </row>
    <row r="37" spans="1:14" x14ac:dyDescent="0.3">
      <c r="A37" t="s">
        <v>146</v>
      </c>
      <c r="B37" t="s">
        <v>22</v>
      </c>
      <c r="C37">
        <v>77</v>
      </c>
      <c r="D37">
        <v>68</v>
      </c>
      <c r="E37">
        <v>66</v>
      </c>
      <c r="F37">
        <v>56</v>
      </c>
      <c r="G37">
        <v>86</v>
      </c>
      <c r="H37" t="str" cm="1">
        <f t="array" ref="H37">_xlfn.IFS(C37&gt;=90,"A",C37&gt;=80,"B",C37&gt;=70,"C",C37&gt;=60,"D",TRUE,"F")</f>
        <v>C</v>
      </c>
      <c r="I37">
        <f t="shared" si="0"/>
        <v>70.599999999999994</v>
      </c>
      <c r="J37" t="str">
        <f t="shared" si="1"/>
        <v>Laila Mostafa — C — 70.60</v>
      </c>
      <c r="L37" t="s">
        <v>373</v>
      </c>
      <c r="M37" t="str">
        <f t="shared" si="2"/>
        <v>Not Found</v>
      </c>
      <c r="N37" t="str" cm="1">
        <f t="array" ref="N37">_xlfn.IFS(C37&gt;=90,"A",C37&gt;=80,"B",C37&gt;=70,"C",C37&gt;=60,"D",C37&lt;60,"F")</f>
        <v>C</v>
      </c>
    </row>
    <row r="38" spans="1:14" x14ac:dyDescent="0.3">
      <c r="A38" t="s">
        <v>147</v>
      </c>
      <c r="B38" t="s">
        <v>114</v>
      </c>
      <c r="C38">
        <v>84</v>
      </c>
      <c r="D38">
        <v>77</v>
      </c>
      <c r="E38">
        <v>71</v>
      </c>
      <c r="F38">
        <v>67</v>
      </c>
      <c r="G38">
        <v>89</v>
      </c>
      <c r="H38" t="str" cm="1">
        <f t="array" ref="H38">_xlfn.IFS(C38&gt;=90,"A",C38&gt;=80,"B",C38&gt;=70,"C",C38&gt;=60,"D",TRUE,"F")</f>
        <v>B</v>
      </c>
      <c r="I38">
        <f t="shared" si="0"/>
        <v>77.599999999999994</v>
      </c>
      <c r="J38" t="str">
        <f t="shared" si="1"/>
        <v>Omar Nabil — B — 77.60</v>
      </c>
      <c r="L38" t="s">
        <v>374</v>
      </c>
      <c r="M38" t="str">
        <f t="shared" si="2"/>
        <v>Not Found</v>
      </c>
      <c r="N38" t="str" cm="1">
        <f t="array" ref="N38">_xlfn.IFS(C38&gt;=90,"A",C38&gt;=80,"B",C38&gt;=70,"C",C38&gt;=60,"D",C38&lt;60,"F")</f>
        <v>B</v>
      </c>
    </row>
    <row r="39" spans="1:14" x14ac:dyDescent="0.3">
      <c r="A39" t="s">
        <v>148</v>
      </c>
      <c r="B39" t="s">
        <v>116</v>
      </c>
      <c r="C39">
        <v>91</v>
      </c>
      <c r="D39">
        <v>86</v>
      </c>
      <c r="E39">
        <v>76</v>
      </c>
      <c r="F39">
        <v>78</v>
      </c>
      <c r="G39">
        <v>92</v>
      </c>
      <c r="H39" t="str" cm="1">
        <f t="array" ref="H39">_xlfn.IFS(C39&gt;=90,"A",C39&gt;=80,"B",C39&gt;=70,"C",C39&gt;=60,"D",TRUE,"F")</f>
        <v>A</v>
      </c>
      <c r="I39">
        <f t="shared" si="0"/>
        <v>84.6</v>
      </c>
      <c r="J39" t="str">
        <f t="shared" si="1"/>
        <v>Sara Ahmed — A — 84.60</v>
      </c>
      <c r="L39" t="s">
        <v>375</v>
      </c>
      <c r="M39" t="str">
        <f t="shared" si="2"/>
        <v>Not Found</v>
      </c>
      <c r="N39" t="str" cm="1">
        <f t="array" ref="N39">_xlfn.IFS(C39&gt;=90,"A",C39&gt;=80,"B",C39&gt;=70,"C",C39&gt;=60,"D",C39&lt;60,"F")</f>
        <v>A</v>
      </c>
    </row>
    <row r="40" spans="1:14" x14ac:dyDescent="0.3">
      <c r="A40" t="s">
        <v>149</v>
      </c>
      <c r="B40" t="s">
        <v>118</v>
      </c>
      <c r="C40">
        <v>98</v>
      </c>
      <c r="D40">
        <v>95</v>
      </c>
      <c r="E40">
        <v>81</v>
      </c>
      <c r="F40">
        <v>89</v>
      </c>
      <c r="G40">
        <v>95</v>
      </c>
      <c r="H40" t="str" cm="1">
        <f t="array" ref="H40">_xlfn.IFS(C40&gt;=90,"A",C40&gt;=80,"B",C40&gt;=70,"C",C40&gt;=60,"D",TRUE,"F")</f>
        <v>A</v>
      </c>
      <c r="I40">
        <f t="shared" si="0"/>
        <v>91.6</v>
      </c>
      <c r="J40" t="str">
        <f t="shared" si="1"/>
        <v>Youssef Tarek — A — 91.60</v>
      </c>
      <c r="L40" t="s">
        <v>376</v>
      </c>
      <c r="M40" t="str">
        <f t="shared" si="2"/>
        <v>Not Found</v>
      </c>
      <c r="N40" t="str" cm="1">
        <f t="array" ref="N40">_xlfn.IFS(C40&gt;=90,"A",C40&gt;=80,"B",C40&gt;=70,"C",C40&gt;=60,"D",C40&lt;60,"F")</f>
        <v>A</v>
      </c>
    </row>
    <row r="41" spans="1:14" x14ac:dyDescent="0.3">
      <c r="A41" t="s">
        <v>150</v>
      </c>
      <c r="B41" t="s">
        <v>17</v>
      </c>
      <c r="C41">
        <v>59</v>
      </c>
      <c r="D41">
        <v>53</v>
      </c>
      <c r="E41">
        <v>86</v>
      </c>
      <c r="F41">
        <v>100</v>
      </c>
      <c r="G41">
        <v>98</v>
      </c>
      <c r="H41" t="str" cm="1">
        <f t="array" ref="H41">_xlfn.IFS(C41&gt;=90,"A",C41&gt;=80,"B",C41&gt;=70,"C",C41&gt;=60,"D",TRUE,"F")</f>
        <v>F</v>
      </c>
      <c r="I41">
        <f t="shared" si="0"/>
        <v>79.2</v>
      </c>
      <c r="J41" t="str">
        <f t="shared" si="1"/>
        <v>Nour Khaled — F — 79.20</v>
      </c>
      <c r="L41" t="s">
        <v>377</v>
      </c>
      <c r="M41" t="str">
        <f t="shared" si="2"/>
        <v>Not Found</v>
      </c>
      <c r="N41" t="str" cm="1">
        <f t="array" ref="N41">_xlfn.IFS(C41&gt;=90,"A",C41&gt;=80,"B",C41&gt;=70,"C",C41&gt;=60,"D",C41&lt;60,"F")</f>
        <v>F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241D-0667-4635-9E95-67D73AA73D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8BF9-55D7-4C04-8335-DA1A3AD6A97E}">
  <dimension ref="A1:K201"/>
  <sheetViews>
    <sheetView tabSelected="1" workbookViewId="0">
      <selection activeCell="F2" sqref="F2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9.44140625" bestFit="1" customWidth="1"/>
    <col min="4" max="4" width="10.21875" bestFit="1" customWidth="1"/>
    <col min="5" max="5" width="16.5546875" bestFit="1" customWidth="1"/>
    <col min="6" max="6" width="6.5546875" bestFit="1" customWidth="1"/>
    <col min="7" max="7" width="17.88671875" bestFit="1" customWidth="1"/>
    <col min="8" max="8" width="6.33203125" bestFit="1" customWidth="1"/>
    <col min="10" max="10" width="9.109375" bestFit="1" customWidth="1"/>
    <col min="11" max="11" width="10.21875" bestFit="1" customWidth="1"/>
  </cols>
  <sheetData>
    <row r="1" spans="1:11" x14ac:dyDescent="0.3">
      <c r="A1" s="13" t="s">
        <v>151</v>
      </c>
      <c r="B1" s="13" t="s">
        <v>94</v>
      </c>
      <c r="C1" s="13" t="s">
        <v>152</v>
      </c>
      <c r="D1" s="13" t="s">
        <v>153</v>
      </c>
      <c r="E1" s="13" t="s">
        <v>154</v>
      </c>
      <c r="F1" s="13" t="s">
        <v>155</v>
      </c>
      <c r="G1" s="13" t="s">
        <v>156</v>
      </c>
      <c r="H1" s="13" t="s">
        <v>52</v>
      </c>
      <c r="I1" s="13"/>
      <c r="J1" s="13" t="s">
        <v>103</v>
      </c>
      <c r="K1" s="13" t="s">
        <v>153</v>
      </c>
    </row>
    <row r="2" spans="1:11" x14ac:dyDescent="0.3">
      <c r="A2" t="s">
        <v>157</v>
      </c>
      <c r="B2" t="s">
        <v>158</v>
      </c>
      <c r="C2" t="s">
        <v>63</v>
      </c>
      <c r="D2">
        <v>15913</v>
      </c>
      <c r="E2" s="12">
        <v>46246</v>
      </c>
      <c r="F2" t="str" cm="1">
        <f t="array" ref="F2">_xlfn.IFS(D2&gt;=50000,"Gold",D2&gt;=20000,"Silver",TRUE,"Bronze")</f>
        <v>Bronze</v>
      </c>
      <c r="G2">
        <f t="shared" ref="G2:G33" ca="1" si="0">TODAY()-E2</f>
        <v>7</v>
      </c>
      <c r="H2" t="str">
        <f t="shared" ref="H2:H33" ca="1" si="1">IF(G2&gt;=90,"At Risk","Active")</f>
        <v>Active</v>
      </c>
      <c r="J2" t="s">
        <v>159</v>
      </c>
      <c r="K2">
        <f>INDEX(D2:D201,MATCH(J2,A2:A201,0))</f>
        <v>29300</v>
      </c>
    </row>
    <row r="3" spans="1:11" x14ac:dyDescent="0.3">
      <c r="A3" t="s">
        <v>160</v>
      </c>
      <c r="B3" t="s">
        <v>161</v>
      </c>
      <c r="C3" t="s">
        <v>57</v>
      </c>
      <c r="D3">
        <v>23826</v>
      </c>
      <c r="E3" s="12">
        <v>46239</v>
      </c>
      <c r="F3" t="str" cm="1">
        <f t="array" ref="F3">_xlfn.IFS(D3&gt;=50000,"Gold",D3&gt;=20000,"Silver",TRUE,"Bronze")</f>
        <v>Silver</v>
      </c>
      <c r="G3">
        <f t="shared" ca="1" si="0"/>
        <v>14</v>
      </c>
      <c r="H3" t="str">
        <f t="shared" ca="1" si="1"/>
        <v>Active</v>
      </c>
      <c r="J3" t="s">
        <v>264</v>
      </c>
    </row>
    <row r="4" spans="1:11" x14ac:dyDescent="0.3">
      <c r="A4" t="s">
        <v>162</v>
      </c>
      <c r="B4" t="s">
        <v>19</v>
      </c>
      <c r="C4" t="s">
        <v>54</v>
      </c>
      <c r="D4">
        <v>31739</v>
      </c>
      <c r="E4" s="12">
        <v>46232</v>
      </c>
      <c r="F4" t="str" cm="1">
        <f t="array" ref="F4">_xlfn.IFS(D4&gt;=50000,"Gold",D4&gt;=20000,"Silver",TRUE,"Bronze")</f>
        <v>Silver</v>
      </c>
      <c r="G4">
        <f t="shared" ca="1" si="0"/>
        <v>21</v>
      </c>
      <c r="H4" t="str">
        <f t="shared" ca="1" si="1"/>
        <v>Active</v>
      </c>
      <c r="J4" t="s">
        <v>265</v>
      </c>
    </row>
    <row r="5" spans="1:11" x14ac:dyDescent="0.3">
      <c r="A5" t="s">
        <v>163</v>
      </c>
      <c r="B5" t="s">
        <v>164</v>
      </c>
      <c r="C5" t="s">
        <v>165</v>
      </c>
      <c r="D5">
        <v>39652</v>
      </c>
      <c r="E5" s="12">
        <v>46225</v>
      </c>
      <c r="F5" t="str" cm="1">
        <f t="array" ref="F5">_xlfn.IFS(D5&gt;=50000,"Gold",D5&gt;=20000,"Silver",TRUE,"Bronze")</f>
        <v>Silver</v>
      </c>
      <c r="G5">
        <f t="shared" ca="1" si="0"/>
        <v>28</v>
      </c>
      <c r="H5" t="str">
        <f t="shared" ca="1" si="1"/>
        <v>Active</v>
      </c>
      <c r="J5" t="s">
        <v>266</v>
      </c>
    </row>
    <row r="6" spans="1:11" x14ac:dyDescent="0.3">
      <c r="A6" t="s">
        <v>166</v>
      </c>
      <c r="B6" t="s">
        <v>23</v>
      </c>
      <c r="C6" t="s">
        <v>60</v>
      </c>
      <c r="D6">
        <v>47565</v>
      </c>
      <c r="E6" s="12">
        <v>46218</v>
      </c>
      <c r="F6" t="str" cm="1">
        <f t="array" ref="F6">_xlfn.IFS(D6&gt;=50000,"Gold",D6&gt;=20000,"Silver",TRUE,"Bronze")</f>
        <v>Silver</v>
      </c>
      <c r="G6">
        <f t="shared" ca="1" si="0"/>
        <v>35</v>
      </c>
      <c r="H6" t="str">
        <f t="shared" ca="1" si="1"/>
        <v>Active</v>
      </c>
      <c r="J6" t="s">
        <v>267</v>
      </c>
    </row>
    <row r="7" spans="1:11" x14ac:dyDescent="0.3">
      <c r="A7" t="s">
        <v>167</v>
      </c>
      <c r="B7" t="s">
        <v>168</v>
      </c>
      <c r="C7" t="s">
        <v>63</v>
      </c>
      <c r="D7">
        <v>55478</v>
      </c>
      <c r="E7" s="12">
        <v>46211</v>
      </c>
      <c r="F7" t="str" cm="1">
        <f t="array" ref="F7">_xlfn.IFS(D7&gt;=50000,"Gold",D7&gt;=20000,"Silver",TRUE,"Bronze")</f>
        <v>Gold</v>
      </c>
      <c r="G7">
        <f t="shared" ca="1" si="0"/>
        <v>42</v>
      </c>
      <c r="H7" t="str">
        <f t="shared" ca="1" si="1"/>
        <v>Active</v>
      </c>
      <c r="J7" t="s">
        <v>268</v>
      </c>
    </row>
    <row r="8" spans="1:11" x14ac:dyDescent="0.3">
      <c r="A8" t="s">
        <v>169</v>
      </c>
      <c r="B8" t="s">
        <v>170</v>
      </c>
      <c r="C8" t="s">
        <v>57</v>
      </c>
      <c r="D8">
        <v>63391</v>
      </c>
      <c r="E8" s="12">
        <v>46204</v>
      </c>
      <c r="F8" t="str" cm="1">
        <f t="array" ref="F8">_xlfn.IFS(D8&gt;=50000,"Gold",D8&gt;=20000,"Silver",TRUE,"Bronze")</f>
        <v>Gold</v>
      </c>
      <c r="G8">
        <f t="shared" ca="1" si="0"/>
        <v>49</v>
      </c>
      <c r="H8" t="str">
        <f t="shared" ca="1" si="1"/>
        <v>Active</v>
      </c>
      <c r="J8" t="s">
        <v>269</v>
      </c>
    </row>
    <row r="9" spans="1:11" x14ac:dyDescent="0.3">
      <c r="A9" t="s">
        <v>171</v>
      </c>
      <c r="B9" t="s">
        <v>172</v>
      </c>
      <c r="C9" t="s">
        <v>54</v>
      </c>
      <c r="D9">
        <v>71304</v>
      </c>
      <c r="E9" s="12">
        <v>46197</v>
      </c>
      <c r="F9" t="str" cm="1">
        <f t="array" ref="F9">_xlfn.IFS(D9&gt;=50000,"Gold",D9&gt;=20000,"Silver",TRUE,"Bronze")</f>
        <v>Gold</v>
      </c>
      <c r="G9">
        <f t="shared" ca="1" si="0"/>
        <v>56</v>
      </c>
      <c r="H9" t="str">
        <f t="shared" ca="1" si="1"/>
        <v>Active</v>
      </c>
      <c r="J9" t="s">
        <v>270</v>
      </c>
    </row>
    <row r="10" spans="1:11" x14ac:dyDescent="0.3">
      <c r="A10" t="s">
        <v>173</v>
      </c>
      <c r="B10" t="s">
        <v>158</v>
      </c>
      <c r="C10" t="s">
        <v>165</v>
      </c>
      <c r="D10">
        <v>9217</v>
      </c>
      <c r="E10" s="12">
        <v>46190</v>
      </c>
      <c r="F10" t="str" cm="1">
        <f t="array" ref="F10">_xlfn.IFS(D10&gt;=50000,"Gold",D10&gt;=20000,"Silver",TRUE,"Bronze")</f>
        <v>Bronze</v>
      </c>
      <c r="G10">
        <f t="shared" ca="1" si="0"/>
        <v>63</v>
      </c>
      <c r="H10" t="str">
        <f t="shared" ca="1" si="1"/>
        <v>Active</v>
      </c>
      <c r="J10" t="s">
        <v>271</v>
      </c>
    </row>
    <row r="11" spans="1:11" x14ac:dyDescent="0.3">
      <c r="A11" t="s">
        <v>174</v>
      </c>
      <c r="B11" t="s">
        <v>161</v>
      </c>
      <c r="C11" t="s">
        <v>60</v>
      </c>
      <c r="D11">
        <v>17130</v>
      </c>
      <c r="E11" s="12">
        <v>46183</v>
      </c>
      <c r="F11" t="str" cm="1">
        <f t="array" ref="F11">_xlfn.IFS(D11&gt;=50000,"Gold",D11&gt;=20000,"Silver",TRUE,"Bronze")</f>
        <v>Bronze</v>
      </c>
      <c r="G11">
        <f t="shared" ca="1" si="0"/>
        <v>70</v>
      </c>
      <c r="H11" t="str">
        <f t="shared" ca="1" si="1"/>
        <v>Active</v>
      </c>
      <c r="J11" t="s">
        <v>272</v>
      </c>
    </row>
    <row r="12" spans="1:11" x14ac:dyDescent="0.3">
      <c r="A12" t="s">
        <v>175</v>
      </c>
      <c r="B12" t="s">
        <v>19</v>
      </c>
      <c r="C12" t="s">
        <v>63</v>
      </c>
      <c r="D12">
        <v>25043</v>
      </c>
      <c r="E12" s="12">
        <v>46176</v>
      </c>
      <c r="F12" t="str" cm="1">
        <f t="array" ref="F12">_xlfn.IFS(D12&gt;=50000,"Gold",D12&gt;=20000,"Silver",TRUE,"Bronze")</f>
        <v>Silver</v>
      </c>
      <c r="G12">
        <f t="shared" ca="1" si="0"/>
        <v>77</v>
      </c>
      <c r="H12" t="str">
        <f t="shared" ca="1" si="1"/>
        <v>Active</v>
      </c>
      <c r="J12" t="s">
        <v>273</v>
      </c>
    </row>
    <row r="13" spans="1:11" x14ac:dyDescent="0.3">
      <c r="A13" t="s">
        <v>176</v>
      </c>
      <c r="B13" t="s">
        <v>164</v>
      </c>
      <c r="C13" t="s">
        <v>57</v>
      </c>
      <c r="D13">
        <v>32956</v>
      </c>
      <c r="E13" s="12">
        <v>46169</v>
      </c>
      <c r="F13" t="str" cm="1">
        <f t="array" ref="F13">_xlfn.IFS(D13&gt;=50000,"Gold",D13&gt;=20000,"Silver",TRUE,"Bronze")</f>
        <v>Silver</v>
      </c>
      <c r="G13">
        <f t="shared" ca="1" si="0"/>
        <v>84</v>
      </c>
      <c r="H13" t="str">
        <f t="shared" ca="1" si="1"/>
        <v>Active</v>
      </c>
      <c r="J13" t="s">
        <v>274</v>
      </c>
    </row>
    <row r="14" spans="1:11" x14ac:dyDescent="0.3">
      <c r="A14" t="s">
        <v>177</v>
      </c>
      <c r="B14" t="s">
        <v>23</v>
      </c>
      <c r="C14" t="s">
        <v>54</v>
      </c>
      <c r="D14">
        <v>40869</v>
      </c>
      <c r="E14" s="12">
        <v>46162</v>
      </c>
      <c r="F14" t="str" cm="1">
        <f t="array" ref="F14">_xlfn.IFS(D14&gt;=50000,"Gold",D14&gt;=20000,"Silver",TRUE,"Bronze")</f>
        <v>Silver</v>
      </c>
      <c r="G14">
        <f t="shared" ca="1" si="0"/>
        <v>91</v>
      </c>
      <c r="H14" t="str">
        <f t="shared" ca="1" si="1"/>
        <v>At Risk</v>
      </c>
      <c r="J14" t="s">
        <v>275</v>
      </c>
    </row>
    <row r="15" spans="1:11" x14ac:dyDescent="0.3">
      <c r="A15" t="s">
        <v>178</v>
      </c>
      <c r="B15" t="s">
        <v>168</v>
      </c>
      <c r="C15" t="s">
        <v>165</v>
      </c>
      <c r="D15">
        <v>48782</v>
      </c>
      <c r="E15" s="12">
        <v>46155</v>
      </c>
      <c r="F15" t="str" cm="1">
        <f t="array" ref="F15">_xlfn.IFS(D15&gt;=50000,"Gold",D15&gt;=20000,"Silver",TRUE,"Bronze")</f>
        <v>Silver</v>
      </c>
      <c r="G15">
        <f t="shared" ca="1" si="0"/>
        <v>98</v>
      </c>
      <c r="H15" t="str">
        <f t="shared" ca="1" si="1"/>
        <v>At Risk</v>
      </c>
      <c r="J15" t="s">
        <v>276</v>
      </c>
    </row>
    <row r="16" spans="1:11" x14ac:dyDescent="0.3">
      <c r="A16" t="s">
        <v>179</v>
      </c>
      <c r="B16" t="s">
        <v>170</v>
      </c>
      <c r="C16" t="s">
        <v>60</v>
      </c>
      <c r="D16">
        <v>56695</v>
      </c>
      <c r="E16" s="12">
        <v>46148</v>
      </c>
      <c r="F16" t="str" cm="1">
        <f t="array" ref="F16">_xlfn.IFS(D16&gt;=50000,"Gold",D16&gt;=20000,"Silver",TRUE,"Bronze")</f>
        <v>Gold</v>
      </c>
      <c r="G16">
        <f t="shared" ca="1" si="0"/>
        <v>105</v>
      </c>
      <c r="H16" t="str">
        <f t="shared" ca="1" si="1"/>
        <v>At Risk</v>
      </c>
      <c r="J16" t="s">
        <v>277</v>
      </c>
    </row>
    <row r="17" spans="1:10" x14ac:dyDescent="0.3">
      <c r="A17" t="s">
        <v>180</v>
      </c>
      <c r="B17" t="s">
        <v>172</v>
      </c>
      <c r="C17" t="s">
        <v>63</v>
      </c>
      <c r="D17">
        <v>64608</v>
      </c>
      <c r="E17" s="12">
        <v>46141</v>
      </c>
      <c r="F17" t="str" cm="1">
        <f t="array" ref="F17">_xlfn.IFS(D17&gt;=50000,"Gold",D17&gt;=20000,"Silver",TRUE,"Bronze")</f>
        <v>Gold</v>
      </c>
      <c r="G17">
        <f t="shared" ca="1" si="0"/>
        <v>112</v>
      </c>
      <c r="H17" t="str">
        <f t="shared" ca="1" si="1"/>
        <v>At Risk</v>
      </c>
      <c r="J17" t="s">
        <v>278</v>
      </c>
    </row>
    <row r="18" spans="1:10" x14ac:dyDescent="0.3">
      <c r="A18" t="s">
        <v>181</v>
      </c>
      <c r="B18" t="s">
        <v>158</v>
      </c>
      <c r="C18" t="s">
        <v>57</v>
      </c>
      <c r="D18">
        <v>72521</v>
      </c>
      <c r="E18" s="12">
        <v>46134</v>
      </c>
      <c r="F18" t="str" cm="1">
        <f t="array" ref="F18">_xlfn.IFS(D18&gt;=50000,"Gold",D18&gt;=20000,"Silver",TRUE,"Bronze")</f>
        <v>Gold</v>
      </c>
      <c r="G18">
        <f t="shared" ca="1" si="0"/>
        <v>119</v>
      </c>
      <c r="H18" t="str">
        <f t="shared" ca="1" si="1"/>
        <v>At Risk</v>
      </c>
      <c r="J18" t="s">
        <v>279</v>
      </c>
    </row>
    <row r="19" spans="1:10" x14ac:dyDescent="0.3">
      <c r="A19" t="s">
        <v>182</v>
      </c>
      <c r="B19" t="s">
        <v>161</v>
      </c>
      <c r="C19" t="s">
        <v>54</v>
      </c>
      <c r="D19">
        <v>10434</v>
      </c>
      <c r="E19" s="12">
        <v>46127</v>
      </c>
      <c r="F19" t="str" cm="1">
        <f t="array" ref="F19">_xlfn.IFS(D19&gt;=50000,"Gold",D19&gt;=20000,"Silver",TRUE,"Bronze")</f>
        <v>Bronze</v>
      </c>
      <c r="G19">
        <f t="shared" ca="1" si="0"/>
        <v>126</v>
      </c>
      <c r="H19" t="str">
        <f t="shared" ca="1" si="1"/>
        <v>At Risk</v>
      </c>
      <c r="J19" t="s">
        <v>280</v>
      </c>
    </row>
    <row r="20" spans="1:10" x14ac:dyDescent="0.3">
      <c r="A20" t="s">
        <v>183</v>
      </c>
      <c r="B20" t="s">
        <v>19</v>
      </c>
      <c r="C20" t="s">
        <v>165</v>
      </c>
      <c r="D20">
        <v>18347</v>
      </c>
      <c r="E20" s="12">
        <v>46120</v>
      </c>
      <c r="F20" t="str" cm="1">
        <f t="array" ref="F20">_xlfn.IFS(D20&gt;=50000,"Gold",D20&gt;=20000,"Silver",TRUE,"Bronze")</f>
        <v>Bronze</v>
      </c>
      <c r="G20">
        <f t="shared" ca="1" si="0"/>
        <v>133</v>
      </c>
      <c r="H20" t="str">
        <f t="shared" ca="1" si="1"/>
        <v>At Risk</v>
      </c>
      <c r="J20" t="s">
        <v>281</v>
      </c>
    </row>
    <row r="21" spans="1:10" x14ac:dyDescent="0.3">
      <c r="A21" t="s">
        <v>184</v>
      </c>
      <c r="B21" t="s">
        <v>164</v>
      </c>
      <c r="C21" t="s">
        <v>60</v>
      </c>
      <c r="D21">
        <v>26260</v>
      </c>
      <c r="E21" s="12">
        <v>46113</v>
      </c>
      <c r="F21" t="str" cm="1">
        <f t="array" ref="F21">_xlfn.IFS(D21&gt;=50000,"Gold",D21&gt;=20000,"Silver",TRUE,"Bronze")</f>
        <v>Silver</v>
      </c>
      <c r="G21">
        <f t="shared" ca="1" si="0"/>
        <v>140</v>
      </c>
      <c r="H21" t="str">
        <f t="shared" ca="1" si="1"/>
        <v>At Risk</v>
      </c>
      <c r="J21" t="s">
        <v>282</v>
      </c>
    </row>
    <row r="22" spans="1:10" x14ac:dyDescent="0.3">
      <c r="A22" t="s">
        <v>185</v>
      </c>
      <c r="B22" t="s">
        <v>23</v>
      </c>
      <c r="C22" t="s">
        <v>63</v>
      </c>
      <c r="D22">
        <v>34173</v>
      </c>
      <c r="E22" s="12">
        <v>46106</v>
      </c>
      <c r="F22" t="str" cm="1">
        <f t="array" ref="F22">_xlfn.IFS(D22&gt;=50000,"Gold",D22&gt;=20000,"Silver",TRUE,"Bronze")</f>
        <v>Silver</v>
      </c>
      <c r="G22">
        <f t="shared" ca="1" si="0"/>
        <v>147</v>
      </c>
      <c r="H22" t="str">
        <f t="shared" ca="1" si="1"/>
        <v>At Risk</v>
      </c>
      <c r="J22" t="s">
        <v>283</v>
      </c>
    </row>
    <row r="23" spans="1:10" x14ac:dyDescent="0.3">
      <c r="A23" t="s">
        <v>186</v>
      </c>
      <c r="B23" t="s">
        <v>168</v>
      </c>
      <c r="C23" t="s">
        <v>57</v>
      </c>
      <c r="D23">
        <v>42086</v>
      </c>
      <c r="E23" s="12">
        <v>46099</v>
      </c>
      <c r="F23" t="str" cm="1">
        <f t="array" ref="F23">_xlfn.IFS(D23&gt;=50000,"Gold",D23&gt;=20000,"Silver",TRUE,"Bronze")</f>
        <v>Silver</v>
      </c>
      <c r="G23">
        <f t="shared" ca="1" si="0"/>
        <v>154</v>
      </c>
      <c r="H23" t="str">
        <f t="shared" ca="1" si="1"/>
        <v>At Risk</v>
      </c>
      <c r="J23" t="s">
        <v>284</v>
      </c>
    </row>
    <row r="24" spans="1:10" x14ac:dyDescent="0.3">
      <c r="A24" t="s">
        <v>187</v>
      </c>
      <c r="B24" t="s">
        <v>170</v>
      </c>
      <c r="C24" t="s">
        <v>54</v>
      </c>
      <c r="D24">
        <v>49999</v>
      </c>
      <c r="E24" s="12">
        <v>46092</v>
      </c>
      <c r="F24" t="str" cm="1">
        <f t="array" ref="F24">_xlfn.IFS(D24&gt;=50000,"Gold",D24&gt;=20000,"Silver",TRUE,"Bronze")</f>
        <v>Silver</v>
      </c>
      <c r="G24">
        <f t="shared" ca="1" si="0"/>
        <v>161</v>
      </c>
      <c r="H24" t="str">
        <f t="shared" ca="1" si="1"/>
        <v>At Risk</v>
      </c>
      <c r="J24" t="s">
        <v>285</v>
      </c>
    </row>
    <row r="25" spans="1:10" x14ac:dyDescent="0.3">
      <c r="A25" t="s">
        <v>188</v>
      </c>
      <c r="B25" t="s">
        <v>172</v>
      </c>
      <c r="C25" t="s">
        <v>165</v>
      </c>
      <c r="D25">
        <v>57912</v>
      </c>
      <c r="E25" s="12">
        <v>46085</v>
      </c>
      <c r="F25" t="str" cm="1">
        <f t="array" ref="F25">_xlfn.IFS(D25&gt;=50000,"Gold",D25&gt;=20000,"Silver",TRUE,"Bronze")</f>
        <v>Gold</v>
      </c>
      <c r="G25">
        <f t="shared" ca="1" si="0"/>
        <v>168</v>
      </c>
      <c r="H25" t="str">
        <f t="shared" ca="1" si="1"/>
        <v>At Risk</v>
      </c>
      <c r="J25" t="s">
        <v>286</v>
      </c>
    </row>
    <row r="26" spans="1:10" x14ac:dyDescent="0.3">
      <c r="A26" t="s">
        <v>189</v>
      </c>
      <c r="B26" t="s">
        <v>158</v>
      </c>
      <c r="C26" t="s">
        <v>60</v>
      </c>
      <c r="D26">
        <v>65825</v>
      </c>
      <c r="E26" s="12">
        <v>46078</v>
      </c>
      <c r="F26" t="str" cm="1">
        <f t="array" ref="F26">_xlfn.IFS(D26&gt;=50000,"Gold",D26&gt;=20000,"Silver",TRUE,"Bronze")</f>
        <v>Gold</v>
      </c>
      <c r="G26">
        <f t="shared" ca="1" si="0"/>
        <v>175</v>
      </c>
      <c r="H26" t="str">
        <f t="shared" ca="1" si="1"/>
        <v>At Risk</v>
      </c>
      <c r="J26" t="s">
        <v>287</v>
      </c>
    </row>
    <row r="27" spans="1:10" x14ac:dyDescent="0.3">
      <c r="A27" t="s">
        <v>190</v>
      </c>
      <c r="B27" t="s">
        <v>161</v>
      </c>
      <c r="C27" t="s">
        <v>63</v>
      </c>
      <c r="D27">
        <v>73738</v>
      </c>
      <c r="E27" s="12">
        <v>46071</v>
      </c>
      <c r="F27" t="str" cm="1">
        <f t="array" ref="F27">_xlfn.IFS(D27&gt;=50000,"Gold",D27&gt;=20000,"Silver",TRUE,"Bronze")</f>
        <v>Gold</v>
      </c>
      <c r="G27">
        <f t="shared" ca="1" si="0"/>
        <v>182</v>
      </c>
      <c r="H27" t="str">
        <f t="shared" ca="1" si="1"/>
        <v>At Risk</v>
      </c>
      <c r="J27" t="s">
        <v>288</v>
      </c>
    </row>
    <row r="28" spans="1:10" x14ac:dyDescent="0.3">
      <c r="A28" t="s">
        <v>191</v>
      </c>
      <c r="B28" t="s">
        <v>19</v>
      </c>
      <c r="C28" t="s">
        <v>57</v>
      </c>
      <c r="D28">
        <v>11651</v>
      </c>
      <c r="E28" s="12">
        <v>46064</v>
      </c>
      <c r="F28" t="str" cm="1">
        <f t="array" ref="F28">_xlfn.IFS(D28&gt;=50000,"Gold",D28&gt;=20000,"Silver",TRUE,"Bronze")</f>
        <v>Bronze</v>
      </c>
      <c r="G28">
        <f t="shared" ca="1" si="0"/>
        <v>189</v>
      </c>
      <c r="H28" t="str">
        <f t="shared" ca="1" si="1"/>
        <v>At Risk</v>
      </c>
      <c r="J28" t="s">
        <v>289</v>
      </c>
    </row>
    <row r="29" spans="1:10" x14ac:dyDescent="0.3">
      <c r="A29" t="s">
        <v>192</v>
      </c>
      <c r="B29" t="s">
        <v>164</v>
      </c>
      <c r="C29" t="s">
        <v>54</v>
      </c>
      <c r="D29">
        <v>19564</v>
      </c>
      <c r="E29" s="12">
        <v>46057</v>
      </c>
      <c r="F29" t="str" cm="1">
        <f t="array" ref="F29">_xlfn.IFS(D29&gt;=50000,"Gold",D29&gt;=20000,"Silver",TRUE,"Bronze")</f>
        <v>Bronze</v>
      </c>
      <c r="G29">
        <f t="shared" ca="1" si="0"/>
        <v>196</v>
      </c>
      <c r="H29" t="str">
        <f t="shared" ca="1" si="1"/>
        <v>At Risk</v>
      </c>
      <c r="J29" t="s">
        <v>290</v>
      </c>
    </row>
    <row r="30" spans="1:10" x14ac:dyDescent="0.3">
      <c r="A30" t="s">
        <v>193</v>
      </c>
      <c r="B30" t="s">
        <v>23</v>
      </c>
      <c r="C30" t="s">
        <v>165</v>
      </c>
      <c r="D30">
        <v>27477</v>
      </c>
      <c r="E30" s="12">
        <v>46050</v>
      </c>
      <c r="F30" t="str" cm="1">
        <f t="array" ref="F30">_xlfn.IFS(D30&gt;=50000,"Gold",D30&gt;=20000,"Silver",TRUE,"Bronze")</f>
        <v>Silver</v>
      </c>
      <c r="G30">
        <f t="shared" ca="1" si="0"/>
        <v>203</v>
      </c>
      <c r="H30" t="str">
        <f t="shared" ca="1" si="1"/>
        <v>At Risk</v>
      </c>
      <c r="J30" t="s">
        <v>291</v>
      </c>
    </row>
    <row r="31" spans="1:10" x14ac:dyDescent="0.3">
      <c r="A31" t="s">
        <v>194</v>
      </c>
      <c r="B31" t="s">
        <v>168</v>
      </c>
      <c r="C31" t="s">
        <v>60</v>
      </c>
      <c r="D31">
        <v>35390</v>
      </c>
      <c r="E31" s="12">
        <v>46043</v>
      </c>
      <c r="F31" t="str" cm="1">
        <f t="array" ref="F31">_xlfn.IFS(D31&gt;=50000,"Gold",D31&gt;=20000,"Silver",TRUE,"Bronze")</f>
        <v>Silver</v>
      </c>
      <c r="G31">
        <f t="shared" ca="1" si="0"/>
        <v>210</v>
      </c>
      <c r="H31" t="str">
        <f t="shared" ca="1" si="1"/>
        <v>At Risk</v>
      </c>
      <c r="J31" t="s">
        <v>292</v>
      </c>
    </row>
    <row r="32" spans="1:10" x14ac:dyDescent="0.3">
      <c r="A32" t="s">
        <v>195</v>
      </c>
      <c r="B32" t="s">
        <v>170</v>
      </c>
      <c r="C32" t="s">
        <v>63</v>
      </c>
      <c r="D32">
        <v>43303</v>
      </c>
      <c r="E32" s="12">
        <v>46036</v>
      </c>
      <c r="F32" t="str" cm="1">
        <f t="array" ref="F32">_xlfn.IFS(D32&gt;=50000,"Gold",D32&gt;=20000,"Silver",TRUE,"Bronze")</f>
        <v>Silver</v>
      </c>
      <c r="G32">
        <f t="shared" ca="1" si="0"/>
        <v>217</v>
      </c>
      <c r="H32" t="str">
        <f t="shared" ca="1" si="1"/>
        <v>At Risk</v>
      </c>
      <c r="J32" t="s">
        <v>293</v>
      </c>
    </row>
    <row r="33" spans="1:10" x14ac:dyDescent="0.3">
      <c r="A33" t="s">
        <v>196</v>
      </c>
      <c r="B33" t="s">
        <v>172</v>
      </c>
      <c r="C33" t="s">
        <v>57</v>
      </c>
      <c r="D33">
        <v>51216</v>
      </c>
      <c r="E33" s="12">
        <v>46029</v>
      </c>
      <c r="F33" t="str" cm="1">
        <f t="array" ref="F33">_xlfn.IFS(D33&gt;=50000,"Gold",D33&gt;=20000,"Silver",TRUE,"Bronze")</f>
        <v>Gold</v>
      </c>
      <c r="G33">
        <f t="shared" ca="1" si="0"/>
        <v>224</v>
      </c>
      <c r="H33" t="str">
        <f t="shared" ca="1" si="1"/>
        <v>At Risk</v>
      </c>
      <c r="J33" t="s">
        <v>294</v>
      </c>
    </row>
    <row r="34" spans="1:10" x14ac:dyDescent="0.3">
      <c r="A34" t="s">
        <v>197</v>
      </c>
      <c r="B34" t="s">
        <v>158</v>
      </c>
      <c r="C34" t="s">
        <v>54</v>
      </c>
      <c r="D34">
        <v>59129</v>
      </c>
      <c r="E34" s="12">
        <v>46022</v>
      </c>
      <c r="F34" t="str" cm="1">
        <f t="array" ref="F34">_xlfn.IFS(D34&gt;=50000,"Gold",D34&gt;=20000,"Silver",TRUE,"Bronze")</f>
        <v>Gold</v>
      </c>
      <c r="G34">
        <f t="shared" ref="G34:G65" ca="1" si="2">TODAY()-E34</f>
        <v>231</v>
      </c>
      <c r="H34" t="str">
        <f t="shared" ref="H34:H65" ca="1" si="3">IF(G34&gt;=90,"At Risk","Active")</f>
        <v>At Risk</v>
      </c>
      <c r="J34" t="s">
        <v>295</v>
      </c>
    </row>
    <row r="35" spans="1:10" x14ac:dyDescent="0.3">
      <c r="A35" t="s">
        <v>198</v>
      </c>
      <c r="B35" t="s">
        <v>161</v>
      </c>
      <c r="C35" t="s">
        <v>165</v>
      </c>
      <c r="D35">
        <v>67042</v>
      </c>
      <c r="E35" s="12">
        <v>46015</v>
      </c>
      <c r="F35" t="str" cm="1">
        <f t="array" ref="F35">_xlfn.IFS(D35&gt;=50000,"Gold",D35&gt;=20000,"Silver",TRUE,"Bronze")</f>
        <v>Gold</v>
      </c>
      <c r="G35">
        <f t="shared" ca="1" si="2"/>
        <v>238</v>
      </c>
      <c r="H35" t="str">
        <f t="shared" ca="1" si="3"/>
        <v>At Risk</v>
      </c>
      <c r="J35" t="s">
        <v>296</v>
      </c>
    </row>
    <row r="36" spans="1:10" x14ac:dyDescent="0.3">
      <c r="A36" t="s">
        <v>199</v>
      </c>
      <c r="B36" t="s">
        <v>19</v>
      </c>
      <c r="C36" t="s">
        <v>60</v>
      </c>
      <c r="D36">
        <v>74955</v>
      </c>
      <c r="E36" s="12">
        <v>46008</v>
      </c>
      <c r="F36" t="str" cm="1">
        <f t="array" ref="F36">_xlfn.IFS(D36&gt;=50000,"Gold",D36&gt;=20000,"Silver",TRUE,"Bronze")</f>
        <v>Gold</v>
      </c>
      <c r="G36">
        <f t="shared" ca="1" si="2"/>
        <v>245</v>
      </c>
      <c r="H36" t="str">
        <f t="shared" ca="1" si="3"/>
        <v>At Risk</v>
      </c>
      <c r="J36" t="s">
        <v>297</v>
      </c>
    </row>
    <row r="37" spans="1:10" x14ac:dyDescent="0.3">
      <c r="A37" t="s">
        <v>200</v>
      </c>
      <c r="B37" t="s">
        <v>164</v>
      </c>
      <c r="C37" t="s">
        <v>63</v>
      </c>
      <c r="D37">
        <v>12868</v>
      </c>
      <c r="E37" s="12">
        <v>46001</v>
      </c>
      <c r="F37" t="str" cm="1">
        <f t="array" ref="F37">_xlfn.IFS(D37&gt;=50000,"Gold",D37&gt;=20000,"Silver",TRUE,"Bronze")</f>
        <v>Bronze</v>
      </c>
      <c r="G37">
        <f t="shared" ca="1" si="2"/>
        <v>252</v>
      </c>
      <c r="H37" t="str">
        <f t="shared" ca="1" si="3"/>
        <v>At Risk</v>
      </c>
      <c r="J37" t="s">
        <v>298</v>
      </c>
    </row>
    <row r="38" spans="1:10" x14ac:dyDescent="0.3">
      <c r="A38" t="s">
        <v>201</v>
      </c>
      <c r="B38" t="s">
        <v>23</v>
      </c>
      <c r="C38" t="s">
        <v>57</v>
      </c>
      <c r="D38">
        <v>20781</v>
      </c>
      <c r="E38" s="12">
        <v>45994</v>
      </c>
      <c r="F38" t="str" cm="1">
        <f t="array" ref="F38">_xlfn.IFS(D38&gt;=50000,"Gold",D38&gt;=20000,"Silver",TRUE,"Bronze")</f>
        <v>Silver</v>
      </c>
      <c r="G38">
        <f t="shared" ca="1" si="2"/>
        <v>259</v>
      </c>
      <c r="H38" t="str">
        <f t="shared" ca="1" si="3"/>
        <v>At Risk</v>
      </c>
      <c r="J38" t="s">
        <v>299</v>
      </c>
    </row>
    <row r="39" spans="1:10" x14ac:dyDescent="0.3">
      <c r="A39" t="s">
        <v>202</v>
      </c>
      <c r="B39" t="s">
        <v>168</v>
      </c>
      <c r="C39" t="s">
        <v>54</v>
      </c>
      <c r="D39">
        <v>28694</v>
      </c>
      <c r="E39" s="12">
        <v>45987</v>
      </c>
      <c r="F39" t="str" cm="1">
        <f t="array" ref="F39">_xlfn.IFS(D39&gt;=50000,"Gold",D39&gt;=20000,"Silver",TRUE,"Bronze")</f>
        <v>Silver</v>
      </c>
      <c r="G39">
        <f t="shared" ca="1" si="2"/>
        <v>266</v>
      </c>
      <c r="H39" t="str">
        <f t="shared" ca="1" si="3"/>
        <v>At Risk</v>
      </c>
      <c r="J39" t="s">
        <v>300</v>
      </c>
    </row>
    <row r="40" spans="1:10" x14ac:dyDescent="0.3">
      <c r="A40" t="s">
        <v>203</v>
      </c>
      <c r="B40" t="s">
        <v>170</v>
      </c>
      <c r="C40" t="s">
        <v>165</v>
      </c>
      <c r="D40">
        <v>36607</v>
      </c>
      <c r="E40" s="12">
        <v>45980</v>
      </c>
      <c r="F40" t="str" cm="1">
        <f t="array" ref="F40">_xlfn.IFS(D40&gt;=50000,"Gold",D40&gt;=20000,"Silver",TRUE,"Bronze")</f>
        <v>Silver</v>
      </c>
      <c r="G40">
        <f t="shared" ca="1" si="2"/>
        <v>273</v>
      </c>
      <c r="H40" t="str">
        <f t="shared" ca="1" si="3"/>
        <v>At Risk</v>
      </c>
      <c r="J40" t="s">
        <v>301</v>
      </c>
    </row>
    <row r="41" spans="1:10" x14ac:dyDescent="0.3">
      <c r="A41" t="s">
        <v>204</v>
      </c>
      <c r="B41" t="s">
        <v>172</v>
      </c>
      <c r="C41" t="s">
        <v>60</v>
      </c>
      <c r="D41">
        <v>44520</v>
      </c>
      <c r="E41" s="12">
        <v>45973</v>
      </c>
      <c r="F41" t="str" cm="1">
        <f t="array" ref="F41">_xlfn.IFS(D41&gt;=50000,"Gold",D41&gt;=20000,"Silver",TRUE,"Bronze")</f>
        <v>Silver</v>
      </c>
      <c r="G41">
        <f t="shared" ca="1" si="2"/>
        <v>280</v>
      </c>
      <c r="H41" t="str">
        <f t="shared" ca="1" si="3"/>
        <v>At Risk</v>
      </c>
      <c r="J41" t="s">
        <v>302</v>
      </c>
    </row>
    <row r="42" spans="1:10" x14ac:dyDescent="0.3">
      <c r="A42" t="s">
        <v>205</v>
      </c>
      <c r="B42" t="s">
        <v>158</v>
      </c>
      <c r="C42" t="s">
        <v>63</v>
      </c>
      <c r="D42">
        <v>52433</v>
      </c>
      <c r="E42" s="12">
        <v>45966</v>
      </c>
      <c r="F42" t="str" cm="1">
        <f t="array" ref="F42">_xlfn.IFS(D42&gt;=50000,"Gold",D42&gt;=20000,"Silver",TRUE,"Bronze")</f>
        <v>Gold</v>
      </c>
      <c r="G42">
        <f t="shared" ca="1" si="2"/>
        <v>287</v>
      </c>
      <c r="H42" t="str">
        <f t="shared" ca="1" si="3"/>
        <v>At Risk</v>
      </c>
      <c r="J42" t="s">
        <v>303</v>
      </c>
    </row>
    <row r="43" spans="1:10" x14ac:dyDescent="0.3">
      <c r="A43" t="s">
        <v>206</v>
      </c>
      <c r="B43" t="s">
        <v>161</v>
      </c>
      <c r="C43" t="s">
        <v>57</v>
      </c>
      <c r="D43">
        <v>60346</v>
      </c>
      <c r="E43" s="12">
        <v>45959</v>
      </c>
      <c r="F43" t="str" cm="1">
        <f t="array" ref="F43">_xlfn.IFS(D43&gt;=50000,"Gold",D43&gt;=20000,"Silver",TRUE,"Bronze")</f>
        <v>Gold</v>
      </c>
      <c r="G43">
        <f t="shared" ca="1" si="2"/>
        <v>294</v>
      </c>
      <c r="H43" t="str">
        <f t="shared" ca="1" si="3"/>
        <v>At Risk</v>
      </c>
      <c r="J43" t="s">
        <v>304</v>
      </c>
    </row>
    <row r="44" spans="1:10" x14ac:dyDescent="0.3">
      <c r="A44" t="s">
        <v>207</v>
      </c>
      <c r="B44" t="s">
        <v>19</v>
      </c>
      <c r="C44" t="s">
        <v>54</v>
      </c>
      <c r="D44">
        <v>68259</v>
      </c>
      <c r="E44" s="12">
        <v>46252</v>
      </c>
      <c r="F44" t="str" cm="1">
        <f t="array" ref="F44">_xlfn.IFS(D44&gt;=50000,"Gold",D44&gt;=20000,"Silver",TRUE,"Bronze")</f>
        <v>Gold</v>
      </c>
      <c r="G44">
        <f t="shared" ca="1" si="2"/>
        <v>1</v>
      </c>
      <c r="H44" t="str">
        <f t="shared" ca="1" si="3"/>
        <v>Active</v>
      </c>
      <c r="J44" t="s">
        <v>305</v>
      </c>
    </row>
    <row r="45" spans="1:10" x14ac:dyDescent="0.3">
      <c r="A45" t="s">
        <v>208</v>
      </c>
      <c r="B45" t="s">
        <v>164</v>
      </c>
      <c r="C45" t="s">
        <v>165</v>
      </c>
      <c r="D45">
        <v>76172</v>
      </c>
      <c r="E45" s="12">
        <v>46245</v>
      </c>
      <c r="F45" t="str" cm="1">
        <f t="array" ref="F45">_xlfn.IFS(D45&gt;=50000,"Gold",D45&gt;=20000,"Silver",TRUE,"Bronze")</f>
        <v>Gold</v>
      </c>
      <c r="G45">
        <f t="shared" ca="1" si="2"/>
        <v>8</v>
      </c>
      <c r="H45" t="str">
        <f t="shared" ca="1" si="3"/>
        <v>Active</v>
      </c>
      <c r="J45" t="s">
        <v>306</v>
      </c>
    </row>
    <row r="46" spans="1:10" x14ac:dyDescent="0.3">
      <c r="A46" t="s">
        <v>209</v>
      </c>
      <c r="B46" t="s">
        <v>23</v>
      </c>
      <c r="C46" t="s">
        <v>60</v>
      </c>
      <c r="D46">
        <v>14085</v>
      </c>
      <c r="E46" s="12">
        <v>46238</v>
      </c>
      <c r="F46" t="str" cm="1">
        <f t="array" ref="F46">_xlfn.IFS(D46&gt;=50000,"Gold",D46&gt;=20000,"Silver",TRUE,"Bronze")</f>
        <v>Bronze</v>
      </c>
      <c r="G46">
        <f t="shared" ca="1" si="2"/>
        <v>15</v>
      </c>
      <c r="H46" t="str">
        <f t="shared" ca="1" si="3"/>
        <v>Active</v>
      </c>
      <c r="J46" t="s">
        <v>307</v>
      </c>
    </row>
    <row r="47" spans="1:10" x14ac:dyDescent="0.3">
      <c r="A47" t="s">
        <v>210</v>
      </c>
      <c r="B47" t="s">
        <v>168</v>
      </c>
      <c r="C47" t="s">
        <v>63</v>
      </c>
      <c r="D47">
        <v>21998</v>
      </c>
      <c r="E47" s="12">
        <v>46231</v>
      </c>
      <c r="F47" t="str" cm="1">
        <f t="array" ref="F47">_xlfn.IFS(D47&gt;=50000,"Gold",D47&gt;=20000,"Silver",TRUE,"Bronze")</f>
        <v>Silver</v>
      </c>
      <c r="G47">
        <f t="shared" ca="1" si="2"/>
        <v>22</v>
      </c>
      <c r="H47" t="str">
        <f t="shared" ca="1" si="3"/>
        <v>Active</v>
      </c>
      <c r="J47" t="s">
        <v>308</v>
      </c>
    </row>
    <row r="48" spans="1:10" x14ac:dyDescent="0.3">
      <c r="A48" t="s">
        <v>211</v>
      </c>
      <c r="B48" t="s">
        <v>170</v>
      </c>
      <c r="C48" t="s">
        <v>57</v>
      </c>
      <c r="D48">
        <v>29911</v>
      </c>
      <c r="E48" s="12">
        <v>46224</v>
      </c>
      <c r="F48" t="str" cm="1">
        <f t="array" ref="F48">_xlfn.IFS(D48&gt;=50000,"Gold",D48&gt;=20000,"Silver",TRUE,"Bronze")</f>
        <v>Silver</v>
      </c>
      <c r="G48">
        <f t="shared" ca="1" si="2"/>
        <v>29</v>
      </c>
      <c r="H48" t="str">
        <f t="shared" ca="1" si="3"/>
        <v>Active</v>
      </c>
      <c r="J48" t="s">
        <v>309</v>
      </c>
    </row>
    <row r="49" spans="1:10" x14ac:dyDescent="0.3">
      <c r="A49" t="s">
        <v>212</v>
      </c>
      <c r="B49" t="s">
        <v>172</v>
      </c>
      <c r="C49" t="s">
        <v>54</v>
      </c>
      <c r="D49">
        <v>37824</v>
      </c>
      <c r="E49" s="12">
        <v>46217</v>
      </c>
      <c r="F49" t="str" cm="1">
        <f t="array" ref="F49">_xlfn.IFS(D49&gt;=50000,"Gold",D49&gt;=20000,"Silver",TRUE,"Bronze")</f>
        <v>Silver</v>
      </c>
      <c r="G49">
        <f t="shared" ca="1" si="2"/>
        <v>36</v>
      </c>
      <c r="H49" t="str">
        <f t="shared" ca="1" si="3"/>
        <v>Active</v>
      </c>
      <c r="J49" t="s">
        <v>310</v>
      </c>
    </row>
    <row r="50" spans="1:10" x14ac:dyDescent="0.3">
      <c r="A50" t="s">
        <v>213</v>
      </c>
      <c r="B50" t="s">
        <v>158</v>
      </c>
      <c r="C50" t="s">
        <v>165</v>
      </c>
      <c r="D50">
        <v>45737</v>
      </c>
      <c r="E50" s="12">
        <v>46210</v>
      </c>
      <c r="F50" t="str" cm="1">
        <f t="array" ref="F50">_xlfn.IFS(D50&gt;=50000,"Gold",D50&gt;=20000,"Silver",TRUE,"Bronze")</f>
        <v>Silver</v>
      </c>
      <c r="G50">
        <f t="shared" ca="1" si="2"/>
        <v>43</v>
      </c>
      <c r="H50" t="str">
        <f t="shared" ca="1" si="3"/>
        <v>Active</v>
      </c>
      <c r="J50" t="s">
        <v>311</v>
      </c>
    </row>
    <row r="51" spans="1:10" x14ac:dyDescent="0.3">
      <c r="A51" t="s">
        <v>214</v>
      </c>
      <c r="B51" t="s">
        <v>161</v>
      </c>
      <c r="C51" t="s">
        <v>60</v>
      </c>
      <c r="D51">
        <v>53650</v>
      </c>
      <c r="E51" s="12">
        <v>46203</v>
      </c>
      <c r="F51" t="str" cm="1">
        <f t="array" ref="F51">_xlfn.IFS(D51&gt;=50000,"Gold",D51&gt;=20000,"Silver",TRUE,"Bronze")</f>
        <v>Gold</v>
      </c>
      <c r="G51">
        <f t="shared" ca="1" si="2"/>
        <v>50</v>
      </c>
      <c r="H51" t="str">
        <f t="shared" ca="1" si="3"/>
        <v>Active</v>
      </c>
      <c r="J51" t="s">
        <v>312</v>
      </c>
    </row>
    <row r="52" spans="1:10" x14ac:dyDescent="0.3">
      <c r="A52" t="s">
        <v>215</v>
      </c>
      <c r="B52" t="s">
        <v>19</v>
      </c>
      <c r="C52" t="s">
        <v>63</v>
      </c>
      <c r="D52">
        <v>61563</v>
      </c>
      <c r="E52" s="12">
        <v>46196</v>
      </c>
      <c r="F52" t="str" cm="1">
        <f t="array" ref="F52">_xlfn.IFS(D52&gt;=50000,"Gold",D52&gt;=20000,"Silver",TRUE,"Bronze")</f>
        <v>Gold</v>
      </c>
      <c r="G52">
        <f t="shared" ca="1" si="2"/>
        <v>57</v>
      </c>
      <c r="H52" t="str">
        <f t="shared" ca="1" si="3"/>
        <v>Active</v>
      </c>
      <c r="J52" t="s">
        <v>313</v>
      </c>
    </row>
    <row r="53" spans="1:10" x14ac:dyDescent="0.3">
      <c r="A53" t="s">
        <v>216</v>
      </c>
      <c r="B53" t="s">
        <v>164</v>
      </c>
      <c r="C53" t="s">
        <v>57</v>
      </c>
      <c r="D53">
        <v>69476</v>
      </c>
      <c r="E53" s="12">
        <v>46189</v>
      </c>
      <c r="F53" t="str" cm="1">
        <f t="array" ref="F53">_xlfn.IFS(D53&gt;=50000,"Gold",D53&gt;=20000,"Silver",TRUE,"Bronze")</f>
        <v>Gold</v>
      </c>
      <c r="G53">
        <f t="shared" ca="1" si="2"/>
        <v>64</v>
      </c>
      <c r="H53" t="str">
        <f t="shared" ca="1" si="3"/>
        <v>Active</v>
      </c>
      <c r="J53" t="s">
        <v>314</v>
      </c>
    </row>
    <row r="54" spans="1:10" x14ac:dyDescent="0.3">
      <c r="A54" t="s">
        <v>217</v>
      </c>
      <c r="B54" t="s">
        <v>23</v>
      </c>
      <c r="C54" t="s">
        <v>54</v>
      </c>
      <c r="D54">
        <v>77389</v>
      </c>
      <c r="E54" s="12">
        <v>46182</v>
      </c>
      <c r="F54" t="str" cm="1">
        <f t="array" ref="F54">_xlfn.IFS(D54&gt;=50000,"Gold",D54&gt;=20000,"Silver",TRUE,"Bronze")</f>
        <v>Gold</v>
      </c>
      <c r="G54">
        <f t="shared" ca="1" si="2"/>
        <v>71</v>
      </c>
      <c r="H54" t="str">
        <f t="shared" ca="1" si="3"/>
        <v>Active</v>
      </c>
      <c r="J54" t="s">
        <v>315</v>
      </c>
    </row>
    <row r="55" spans="1:10" x14ac:dyDescent="0.3">
      <c r="A55" t="s">
        <v>218</v>
      </c>
      <c r="B55" t="s">
        <v>168</v>
      </c>
      <c r="C55" t="s">
        <v>165</v>
      </c>
      <c r="D55">
        <v>15302</v>
      </c>
      <c r="E55" s="12">
        <v>46175</v>
      </c>
      <c r="F55" t="str" cm="1">
        <f t="array" ref="F55">_xlfn.IFS(D55&gt;=50000,"Gold",D55&gt;=20000,"Silver",TRUE,"Bronze")</f>
        <v>Bronze</v>
      </c>
      <c r="G55">
        <f t="shared" ca="1" si="2"/>
        <v>78</v>
      </c>
      <c r="H55" t="str">
        <f t="shared" ca="1" si="3"/>
        <v>Active</v>
      </c>
      <c r="J55" t="s">
        <v>316</v>
      </c>
    </row>
    <row r="56" spans="1:10" x14ac:dyDescent="0.3">
      <c r="A56" t="s">
        <v>219</v>
      </c>
      <c r="B56" t="s">
        <v>170</v>
      </c>
      <c r="C56" t="s">
        <v>60</v>
      </c>
      <c r="D56">
        <v>23215</v>
      </c>
      <c r="E56" s="12">
        <v>46168</v>
      </c>
      <c r="F56" t="str" cm="1">
        <f t="array" ref="F56">_xlfn.IFS(D56&gt;=50000,"Gold",D56&gt;=20000,"Silver",TRUE,"Bronze")</f>
        <v>Silver</v>
      </c>
      <c r="G56">
        <f t="shared" ca="1" si="2"/>
        <v>85</v>
      </c>
      <c r="H56" t="str">
        <f t="shared" ca="1" si="3"/>
        <v>Active</v>
      </c>
      <c r="J56" t="s">
        <v>317</v>
      </c>
    </row>
    <row r="57" spans="1:10" x14ac:dyDescent="0.3">
      <c r="A57" t="s">
        <v>220</v>
      </c>
      <c r="B57" t="s">
        <v>172</v>
      </c>
      <c r="C57" t="s">
        <v>63</v>
      </c>
      <c r="D57">
        <v>31128</v>
      </c>
      <c r="E57" s="12">
        <v>46161</v>
      </c>
      <c r="F57" t="str" cm="1">
        <f t="array" ref="F57">_xlfn.IFS(D57&gt;=50000,"Gold",D57&gt;=20000,"Silver",TRUE,"Bronze")</f>
        <v>Silver</v>
      </c>
      <c r="G57">
        <f t="shared" ca="1" si="2"/>
        <v>92</v>
      </c>
      <c r="H57" t="str">
        <f t="shared" ca="1" si="3"/>
        <v>At Risk</v>
      </c>
      <c r="J57" t="s">
        <v>318</v>
      </c>
    </row>
    <row r="58" spans="1:10" x14ac:dyDescent="0.3">
      <c r="A58" t="s">
        <v>221</v>
      </c>
      <c r="B58" t="s">
        <v>158</v>
      </c>
      <c r="C58" t="s">
        <v>57</v>
      </c>
      <c r="D58">
        <v>39041</v>
      </c>
      <c r="E58" s="12">
        <v>46154</v>
      </c>
      <c r="F58" t="str" cm="1">
        <f t="array" ref="F58">_xlfn.IFS(D58&gt;=50000,"Gold",D58&gt;=20000,"Silver",TRUE,"Bronze")</f>
        <v>Silver</v>
      </c>
      <c r="G58">
        <f t="shared" ca="1" si="2"/>
        <v>99</v>
      </c>
      <c r="H58" t="str">
        <f t="shared" ca="1" si="3"/>
        <v>At Risk</v>
      </c>
      <c r="J58" t="s">
        <v>319</v>
      </c>
    </row>
    <row r="59" spans="1:10" x14ac:dyDescent="0.3">
      <c r="A59" t="s">
        <v>222</v>
      </c>
      <c r="B59" t="s">
        <v>161</v>
      </c>
      <c r="C59" t="s">
        <v>54</v>
      </c>
      <c r="D59">
        <v>46954</v>
      </c>
      <c r="E59" s="12">
        <v>46147</v>
      </c>
      <c r="F59" t="str" cm="1">
        <f t="array" ref="F59">_xlfn.IFS(D59&gt;=50000,"Gold",D59&gt;=20000,"Silver",TRUE,"Bronze")</f>
        <v>Silver</v>
      </c>
      <c r="G59">
        <f t="shared" ca="1" si="2"/>
        <v>106</v>
      </c>
      <c r="H59" t="str">
        <f t="shared" ca="1" si="3"/>
        <v>At Risk</v>
      </c>
      <c r="J59" t="s">
        <v>320</v>
      </c>
    </row>
    <row r="60" spans="1:10" x14ac:dyDescent="0.3">
      <c r="A60" t="s">
        <v>223</v>
      </c>
      <c r="B60" t="s">
        <v>19</v>
      </c>
      <c r="C60" t="s">
        <v>165</v>
      </c>
      <c r="D60">
        <v>54867</v>
      </c>
      <c r="E60" s="12">
        <v>46140</v>
      </c>
      <c r="F60" t="str" cm="1">
        <f t="array" ref="F60">_xlfn.IFS(D60&gt;=50000,"Gold",D60&gt;=20000,"Silver",TRUE,"Bronze")</f>
        <v>Gold</v>
      </c>
      <c r="G60">
        <f t="shared" ca="1" si="2"/>
        <v>113</v>
      </c>
      <c r="H60" t="str">
        <f t="shared" ca="1" si="3"/>
        <v>At Risk</v>
      </c>
      <c r="J60" t="s">
        <v>321</v>
      </c>
    </row>
    <row r="61" spans="1:10" x14ac:dyDescent="0.3">
      <c r="A61" t="s">
        <v>224</v>
      </c>
      <c r="B61" t="s">
        <v>164</v>
      </c>
      <c r="C61" t="s">
        <v>60</v>
      </c>
      <c r="D61">
        <v>62780</v>
      </c>
      <c r="E61" s="12">
        <v>46133</v>
      </c>
      <c r="F61" t="str" cm="1">
        <f t="array" ref="F61">_xlfn.IFS(D61&gt;=50000,"Gold",D61&gt;=20000,"Silver",TRUE,"Bronze")</f>
        <v>Gold</v>
      </c>
      <c r="G61">
        <f t="shared" ca="1" si="2"/>
        <v>120</v>
      </c>
      <c r="H61" t="str">
        <f t="shared" ca="1" si="3"/>
        <v>At Risk</v>
      </c>
      <c r="J61" t="s">
        <v>322</v>
      </c>
    </row>
    <row r="62" spans="1:10" x14ac:dyDescent="0.3">
      <c r="A62" t="s">
        <v>225</v>
      </c>
      <c r="B62" t="s">
        <v>23</v>
      </c>
      <c r="C62" t="s">
        <v>63</v>
      </c>
      <c r="D62">
        <v>70693</v>
      </c>
      <c r="E62" s="12">
        <v>46126</v>
      </c>
      <c r="F62" t="str" cm="1">
        <f t="array" ref="F62">_xlfn.IFS(D62&gt;=50000,"Gold",D62&gt;=20000,"Silver",TRUE,"Bronze")</f>
        <v>Gold</v>
      </c>
      <c r="G62">
        <f t="shared" ca="1" si="2"/>
        <v>127</v>
      </c>
      <c r="H62" t="str">
        <f t="shared" ca="1" si="3"/>
        <v>At Risk</v>
      </c>
      <c r="J62" t="s">
        <v>323</v>
      </c>
    </row>
    <row r="63" spans="1:10" x14ac:dyDescent="0.3">
      <c r="A63" t="s">
        <v>226</v>
      </c>
      <c r="B63" t="s">
        <v>168</v>
      </c>
      <c r="C63" t="s">
        <v>57</v>
      </c>
      <c r="D63">
        <v>8606</v>
      </c>
      <c r="E63" s="12">
        <v>46119</v>
      </c>
      <c r="F63" t="str" cm="1">
        <f t="array" ref="F63">_xlfn.IFS(D63&gt;=50000,"Gold",D63&gt;=20000,"Silver",TRUE,"Bronze")</f>
        <v>Bronze</v>
      </c>
      <c r="G63">
        <f t="shared" ca="1" si="2"/>
        <v>134</v>
      </c>
      <c r="H63" t="str">
        <f t="shared" ca="1" si="3"/>
        <v>At Risk</v>
      </c>
      <c r="J63" t="s">
        <v>324</v>
      </c>
    </row>
    <row r="64" spans="1:10" x14ac:dyDescent="0.3">
      <c r="A64" t="s">
        <v>227</v>
      </c>
      <c r="B64" t="s">
        <v>170</v>
      </c>
      <c r="C64" t="s">
        <v>54</v>
      </c>
      <c r="D64">
        <v>16519</v>
      </c>
      <c r="E64" s="12">
        <v>46112</v>
      </c>
      <c r="F64" t="str" cm="1">
        <f t="array" ref="F64">_xlfn.IFS(D64&gt;=50000,"Gold",D64&gt;=20000,"Silver",TRUE,"Bronze")</f>
        <v>Bronze</v>
      </c>
      <c r="G64">
        <f t="shared" ca="1" si="2"/>
        <v>141</v>
      </c>
      <c r="H64" t="str">
        <f t="shared" ca="1" si="3"/>
        <v>At Risk</v>
      </c>
      <c r="J64" t="s">
        <v>325</v>
      </c>
    </row>
    <row r="65" spans="1:10" x14ac:dyDescent="0.3">
      <c r="A65" t="s">
        <v>228</v>
      </c>
      <c r="B65" t="s">
        <v>172</v>
      </c>
      <c r="C65" t="s">
        <v>165</v>
      </c>
      <c r="D65">
        <v>24432</v>
      </c>
      <c r="E65" s="12">
        <v>46105</v>
      </c>
      <c r="F65" t="str" cm="1">
        <f t="array" ref="F65">_xlfn.IFS(D65&gt;=50000,"Gold",D65&gt;=20000,"Silver",TRUE,"Bronze")</f>
        <v>Silver</v>
      </c>
      <c r="G65">
        <f t="shared" ca="1" si="2"/>
        <v>148</v>
      </c>
      <c r="H65" t="str">
        <f t="shared" ca="1" si="3"/>
        <v>At Risk</v>
      </c>
      <c r="J65" t="s">
        <v>326</v>
      </c>
    </row>
    <row r="66" spans="1:10" x14ac:dyDescent="0.3">
      <c r="A66" t="s">
        <v>229</v>
      </c>
      <c r="B66" t="s">
        <v>158</v>
      </c>
      <c r="C66" t="s">
        <v>60</v>
      </c>
      <c r="D66">
        <v>32345</v>
      </c>
      <c r="E66" s="12">
        <v>46098</v>
      </c>
      <c r="F66" t="str" cm="1">
        <f t="array" ref="F66">_xlfn.IFS(D66&gt;=50000,"Gold",D66&gt;=20000,"Silver",TRUE,"Bronze")</f>
        <v>Silver</v>
      </c>
      <c r="G66">
        <f t="shared" ref="G66:G97" ca="1" si="4">TODAY()-E66</f>
        <v>155</v>
      </c>
      <c r="H66" t="str">
        <f t="shared" ref="H66:H97" ca="1" si="5">IF(G66&gt;=90,"At Risk","Active")</f>
        <v>At Risk</v>
      </c>
      <c r="J66" t="s">
        <v>327</v>
      </c>
    </row>
    <row r="67" spans="1:10" x14ac:dyDescent="0.3">
      <c r="A67" t="s">
        <v>230</v>
      </c>
      <c r="B67" t="s">
        <v>161</v>
      </c>
      <c r="C67" t="s">
        <v>63</v>
      </c>
      <c r="D67">
        <v>40258</v>
      </c>
      <c r="E67" s="12">
        <v>46091</v>
      </c>
      <c r="F67" t="str" cm="1">
        <f t="array" ref="F67">_xlfn.IFS(D67&gt;=50000,"Gold",D67&gt;=20000,"Silver",TRUE,"Bronze")</f>
        <v>Silver</v>
      </c>
      <c r="G67">
        <f t="shared" ca="1" si="4"/>
        <v>162</v>
      </c>
      <c r="H67" t="str">
        <f t="shared" ca="1" si="5"/>
        <v>At Risk</v>
      </c>
      <c r="J67" t="s">
        <v>328</v>
      </c>
    </row>
    <row r="68" spans="1:10" x14ac:dyDescent="0.3">
      <c r="A68" t="s">
        <v>231</v>
      </c>
      <c r="B68" t="s">
        <v>19</v>
      </c>
      <c r="C68" t="s">
        <v>57</v>
      </c>
      <c r="D68">
        <v>48171</v>
      </c>
      <c r="E68" s="12">
        <v>46084</v>
      </c>
      <c r="F68" t="str" cm="1">
        <f t="array" ref="F68">_xlfn.IFS(D68&gt;=50000,"Gold",D68&gt;=20000,"Silver",TRUE,"Bronze")</f>
        <v>Silver</v>
      </c>
      <c r="G68">
        <f t="shared" ca="1" si="4"/>
        <v>169</v>
      </c>
      <c r="H68" t="str">
        <f t="shared" ca="1" si="5"/>
        <v>At Risk</v>
      </c>
      <c r="J68" t="s">
        <v>329</v>
      </c>
    </row>
    <row r="69" spans="1:10" x14ac:dyDescent="0.3">
      <c r="A69" t="s">
        <v>232</v>
      </c>
      <c r="B69" t="s">
        <v>164</v>
      </c>
      <c r="C69" t="s">
        <v>54</v>
      </c>
      <c r="D69">
        <v>56084</v>
      </c>
      <c r="E69" s="12">
        <v>46077</v>
      </c>
      <c r="F69" t="str" cm="1">
        <f t="array" ref="F69">_xlfn.IFS(D69&gt;=50000,"Gold",D69&gt;=20000,"Silver",TRUE,"Bronze")</f>
        <v>Gold</v>
      </c>
      <c r="G69">
        <f t="shared" ca="1" si="4"/>
        <v>176</v>
      </c>
      <c r="H69" t="str">
        <f t="shared" ca="1" si="5"/>
        <v>At Risk</v>
      </c>
      <c r="J69" t="s">
        <v>330</v>
      </c>
    </row>
    <row r="70" spans="1:10" x14ac:dyDescent="0.3">
      <c r="A70" t="s">
        <v>233</v>
      </c>
      <c r="B70" t="s">
        <v>23</v>
      </c>
      <c r="C70" t="s">
        <v>165</v>
      </c>
      <c r="D70">
        <v>63997</v>
      </c>
      <c r="E70" s="12">
        <v>46070</v>
      </c>
      <c r="F70" t="str" cm="1">
        <f t="array" ref="F70">_xlfn.IFS(D70&gt;=50000,"Gold",D70&gt;=20000,"Silver",TRUE,"Bronze")</f>
        <v>Gold</v>
      </c>
      <c r="G70">
        <f t="shared" ca="1" si="4"/>
        <v>183</v>
      </c>
      <c r="H70" t="str">
        <f t="shared" ca="1" si="5"/>
        <v>At Risk</v>
      </c>
      <c r="J70" t="s">
        <v>331</v>
      </c>
    </row>
    <row r="71" spans="1:10" x14ac:dyDescent="0.3">
      <c r="A71" t="s">
        <v>234</v>
      </c>
      <c r="B71" t="s">
        <v>168</v>
      </c>
      <c r="C71" t="s">
        <v>60</v>
      </c>
      <c r="D71">
        <v>71910</v>
      </c>
      <c r="E71" s="12">
        <v>46063</v>
      </c>
      <c r="F71" t="str" cm="1">
        <f t="array" ref="F71">_xlfn.IFS(D71&gt;=50000,"Gold",D71&gt;=20000,"Silver",TRUE,"Bronze")</f>
        <v>Gold</v>
      </c>
      <c r="G71">
        <f t="shared" ca="1" si="4"/>
        <v>190</v>
      </c>
      <c r="H71" t="str">
        <f t="shared" ca="1" si="5"/>
        <v>At Risk</v>
      </c>
      <c r="J71" t="s">
        <v>332</v>
      </c>
    </row>
    <row r="72" spans="1:10" x14ac:dyDescent="0.3">
      <c r="A72" t="s">
        <v>235</v>
      </c>
      <c r="B72" t="s">
        <v>170</v>
      </c>
      <c r="C72" t="s">
        <v>63</v>
      </c>
      <c r="D72">
        <v>9823</v>
      </c>
      <c r="E72" s="12">
        <v>46056</v>
      </c>
      <c r="F72" t="str" cm="1">
        <f t="array" ref="F72">_xlfn.IFS(D72&gt;=50000,"Gold",D72&gt;=20000,"Silver",TRUE,"Bronze")</f>
        <v>Bronze</v>
      </c>
      <c r="G72">
        <f t="shared" ca="1" si="4"/>
        <v>197</v>
      </c>
      <c r="H72" t="str">
        <f t="shared" ca="1" si="5"/>
        <v>At Risk</v>
      </c>
      <c r="J72" t="s">
        <v>333</v>
      </c>
    </row>
    <row r="73" spans="1:10" x14ac:dyDescent="0.3">
      <c r="A73" t="s">
        <v>236</v>
      </c>
      <c r="B73" t="s">
        <v>172</v>
      </c>
      <c r="C73" t="s">
        <v>57</v>
      </c>
      <c r="D73">
        <v>17736</v>
      </c>
      <c r="E73" s="12">
        <v>46049</v>
      </c>
      <c r="F73" t="str" cm="1">
        <f t="array" ref="F73">_xlfn.IFS(D73&gt;=50000,"Gold",D73&gt;=20000,"Silver",TRUE,"Bronze")</f>
        <v>Bronze</v>
      </c>
      <c r="G73">
        <f t="shared" ca="1" si="4"/>
        <v>204</v>
      </c>
      <c r="H73" t="str">
        <f t="shared" ca="1" si="5"/>
        <v>At Risk</v>
      </c>
      <c r="J73" t="s">
        <v>334</v>
      </c>
    </row>
    <row r="74" spans="1:10" x14ac:dyDescent="0.3">
      <c r="A74" t="s">
        <v>237</v>
      </c>
      <c r="B74" t="s">
        <v>158</v>
      </c>
      <c r="C74" t="s">
        <v>54</v>
      </c>
      <c r="D74">
        <v>25649</v>
      </c>
      <c r="E74" s="12">
        <v>46042</v>
      </c>
      <c r="F74" t="str" cm="1">
        <f t="array" ref="F74">_xlfn.IFS(D74&gt;=50000,"Gold",D74&gt;=20000,"Silver",TRUE,"Bronze")</f>
        <v>Silver</v>
      </c>
      <c r="G74">
        <f t="shared" ca="1" si="4"/>
        <v>211</v>
      </c>
      <c r="H74" t="str">
        <f t="shared" ca="1" si="5"/>
        <v>At Risk</v>
      </c>
      <c r="J74" t="s">
        <v>335</v>
      </c>
    </row>
    <row r="75" spans="1:10" x14ac:dyDescent="0.3">
      <c r="A75" t="s">
        <v>238</v>
      </c>
      <c r="B75" t="s">
        <v>161</v>
      </c>
      <c r="C75" t="s">
        <v>165</v>
      </c>
      <c r="D75">
        <v>33562</v>
      </c>
      <c r="E75" s="12">
        <v>46035</v>
      </c>
      <c r="F75" t="str" cm="1">
        <f t="array" ref="F75">_xlfn.IFS(D75&gt;=50000,"Gold",D75&gt;=20000,"Silver",TRUE,"Bronze")</f>
        <v>Silver</v>
      </c>
      <c r="G75">
        <f t="shared" ca="1" si="4"/>
        <v>218</v>
      </c>
      <c r="H75" t="str">
        <f t="shared" ca="1" si="5"/>
        <v>At Risk</v>
      </c>
      <c r="J75" t="s">
        <v>336</v>
      </c>
    </row>
    <row r="76" spans="1:10" x14ac:dyDescent="0.3">
      <c r="A76" t="s">
        <v>239</v>
      </c>
      <c r="B76" t="s">
        <v>19</v>
      </c>
      <c r="C76" t="s">
        <v>60</v>
      </c>
      <c r="D76">
        <v>41475</v>
      </c>
      <c r="E76" s="12">
        <v>46028</v>
      </c>
      <c r="F76" t="str" cm="1">
        <f t="array" ref="F76">_xlfn.IFS(D76&gt;=50000,"Gold",D76&gt;=20000,"Silver",TRUE,"Bronze")</f>
        <v>Silver</v>
      </c>
      <c r="G76">
        <f t="shared" ca="1" si="4"/>
        <v>225</v>
      </c>
      <c r="H76" t="str">
        <f t="shared" ca="1" si="5"/>
        <v>At Risk</v>
      </c>
      <c r="J76" t="s">
        <v>337</v>
      </c>
    </row>
    <row r="77" spans="1:10" x14ac:dyDescent="0.3">
      <c r="A77" t="s">
        <v>240</v>
      </c>
      <c r="B77" t="s">
        <v>164</v>
      </c>
      <c r="C77" t="s">
        <v>63</v>
      </c>
      <c r="D77">
        <v>49388</v>
      </c>
      <c r="E77" s="12">
        <v>46021</v>
      </c>
      <c r="F77" t="str" cm="1">
        <f t="array" ref="F77">_xlfn.IFS(D77&gt;=50000,"Gold",D77&gt;=20000,"Silver",TRUE,"Bronze")</f>
        <v>Silver</v>
      </c>
      <c r="G77">
        <f t="shared" ca="1" si="4"/>
        <v>232</v>
      </c>
      <c r="H77" t="str">
        <f t="shared" ca="1" si="5"/>
        <v>At Risk</v>
      </c>
      <c r="J77" t="s">
        <v>338</v>
      </c>
    </row>
    <row r="78" spans="1:10" x14ac:dyDescent="0.3">
      <c r="A78" t="s">
        <v>241</v>
      </c>
      <c r="B78" t="s">
        <v>23</v>
      </c>
      <c r="C78" t="s">
        <v>57</v>
      </c>
      <c r="D78">
        <v>57301</v>
      </c>
      <c r="E78" s="12">
        <v>46014</v>
      </c>
      <c r="F78" t="str" cm="1">
        <f t="array" ref="F78">_xlfn.IFS(D78&gt;=50000,"Gold",D78&gt;=20000,"Silver",TRUE,"Bronze")</f>
        <v>Gold</v>
      </c>
      <c r="G78">
        <f t="shared" ca="1" si="4"/>
        <v>239</v>
      </c>
      <c r="H78" t="str">
        <f t="shared" ca="1" si="5"/>
        <v>At Risk</v>
      </c>
      <c r="J78" t="s">
        <v>339</v>
      </c>
    </row>
    <row r="79" spans="1:10" x14ac:dyDescent="0.3">
      <c r="A79" t="s">
        <v>242</v>
      </c>
      <c r="B79" t="s">
        <v>168</v>
      </c>
      <c r="C79" t="s">
        <v>54</v>
      </c>
      <c r="D79">
        <v>65214</v>
      </c>
      <c r="E79" s="12">
        <v>46007</v>
      </c>
      <c r="F79" t="str" cm="1">
        <f t="array" ref="F79">_xlfn.IFS(D79&gt;=50000,"Gold",D79&gt;=20000,"Silver",TRUE,"Bronze")</f>
        <v>Gold</v>
      </c>
      <c r="G79">
        <f t="shared" ca="1" si="4"/>
        <v>246</v>
      </c>
      <c r="H79" t="str">
        <f t="shared" ca="1" si="5"/>
        <v>At Risk</v>
      </c>
      <c r="J79" t="s">
        <v>340</v>
      </c>
    </row>
    <row r="80" spans="1:10" x14ac:dyDescent="0.3">
      <c r="A80" t="s">
        <v>243</v>
      </c>
      <c r="B80" t="s">
        <v>170</v>
      </c>
      <c r="C80" t="s">
        <v>165</v>
      </c>
      <c r="D80">
        <v>73127</v>
      </c>
      <c r="E80" s="12">
        <v>46000</v>
      </c>
      <c r="F80" t="str" cm="1">
        <f t="array" ref="F80">_xlfn.IFS(D80&gt;=50000,"Gold",D80&gt;=20000,"Silver",TRUE,"Bronze")</f>
        <v>Gold</v>
      </c>
      <c r="G80">
        <f t="shared" ca="1" si="4"/>
        <v>253</v>
      </c>
      <c r="H80" t="str">
        <f t="shared" ca="1" si="5"/>
        <v>At Risk</v>
      </c>
      <c r="J80" t="s">
        <v>341</v>
      </c>
    </row>
    <row r="81" spans="1:10" x14ac:dyDescent="0.3">
      <c r="A81" t="s">
        <v>244</v>
      </c>
      <c r="B81" t="s">
        <v>172</v>
      </c>
      <c r="C81" t="s">
        <v>60</v>
      </c>
      <c r="D81">
        <v>11040</v>
      </c>
      <c r="E81" s="12">
        <v>45993</v>
      </c>
      <c r="F81" t="str" cm="1">
        <f t="array" ref="F81">_xlfn.IFS(D81&gt;=50000,"Gold",D81&gt;=20000,"Silver",TRUE,"Bronze")</f>
        <v>Bronze</v>
      </c>
      <c r="G81">
        <f t="shared" ca="1" si="4"/>
        <v>260</v>
      </c>
      <c r="H81" t="str">
        <f t="shared" ca="1" si="5"/>
        <v>At Risk</v>
      </c>
      <c r="J81" t="s">
        <v>342</v>
      </c>
    </row>
    <row r="82" spans="1:10" x14ac:dyDescent="0.3">
      <c r="A82" t="s">
        <v>245</v>
      </c>
      <c r="B82" t="s">
        <v>158</v>
      </c>
      <c r="C82" t="s">
        <v>63</v>
      </c>
      <c r="D82">
        <v>18953</v>
      </c>
      <c r="E82" s="12">
        <v>45986</v>
      </c>
      <c r="F82" t="str" cm="1">
        <f t="array" ref="F82">_xlfn.IFS(D82&gt;=50000,"Gold",D82&gt;=20000,"Silver",TRUE,"Bronze")</f>
        <v>Bronze</v>
      </c>
      <c r="G82">
        <f t="shared" ca="1" si="4"/>
        <v>267</v>
      </c>
      <c r="H82" t="str">
        <f t="shared" ca="1" si="5"/>
        <v>At Risk</v>
      </c>
      <c r="J82" t="s">
        <v>343</v>
      </c>
    </row>
    <row r="83" spans="1:10" x14ac:dyDescent="0.3">
      <c r="A83" t="s">
        <v>246</v>
      </c>
      <c r="B83" t="s">
        <v>161</v>
      </c>
      <c r="C83" t="s">
        <v>57</v>
      </c>
      <c r="D83">
        <v>26866</v>
      </c>
      <c r="E83" s="12">
        <v>45979</v>
      </c>
      <c r="F83" t="str" cm="1">
        <f t="array" ref="F83">_xlfn.IFS(D83&gt;=50000,"Gold",D83&gt;=20000,"Silver",TRUE,"Bronze")</f>
        <v>Silver</v>
      </c>
      <c r="G83">
        <f t="shared" ca="1" si="4"/>
        <v>274</v>
      </c>
      <c r="H83" t="str">
        <f t="shared" ca="1" si="5"/>
        <v>At Risk</v>
      </c>
      <c r="J83" t="s">
        <v>344</v>
      </c>
    </row>
    <row r="84" spans="1:10" x14ac:dyDescent="0.3">
      <c r="A84" t="s">
        <v>247</v>
      </c>
      <c r="B84" t="s">
        <v>19</v>
      </c>
      <c r="C84" t="s">
        <v>54</v>
      </c>
      <c r="D84">
        <v>34779</v>
      </c>
      <c r="E84" s="12">
        <v>45972</v>
      </c>
      <c r="F84" t="str" cm="1">
        <f t="array" ref="F84">_xlfn.IFS(D84&gt;=50000,"Gold",D84&gt;=20000,"Silver",TRUE,"Bronze")</f>
        <v>Silver</v>
      </c>
      <c r="G84">
        <f t="shared" ca="1" si="4"/>
        <v>281</v>
      </c>
      <c r="H84" t="str">
        <f t="shared" ca="1" si="5"/>
        <v>At Risk</v>
      </c>
      <c r="J84" t="s">
        <v>345</v>
      </c>
    </row>
    <row r="85" spans="1:10" x14ac:dyDescent="0.3">
      <c r="A85" t="s">
        <v>248</v>
      </c>
      <c r="B85" t="s">
        <v>164</v>
      </c>
      <c r="C85" t="s">
        <v>165</v>
      </c>
      <c r="D85">
        <v>42692</v>
      </c>
      <c r="E85" s="12">
        <v>45965</v>
      </c>
      <c r="F85" t="str" cm="1">
        <f t="array" ref="F85">_xlfn.IFS(D85&gt;=50000,"Gold",D85&gt;=20000,"Silver",TRUE,"Bronze")</f>
        <v>Silver</v>
      </c>
      <c r="G85">
        <f t="shared" ca="1" si="4"/>
        <v>288</v>
      </c>
      <c r="H85" t="str">
        <f t="shared" ca="1" si="5"/>
        <v>At Risk</v>
      </c>
      <c r="J85" t="s">
        <v>346</v>
      </c>
    </row>
    <row r="86" spans="1:10" x14ac:dyDescent="0.3">
      <c r="A86" t="s">
        <v>249</v>
      </c>
      <c r="B86" t="s">
        <v>23</v>
      </c>
      <c r="C86" t="s">
        <v>60</v>
      </c>
      <c r="D86">
        <v>50605</v>
      </c>
      <c r="E86" s="12">
        <v>45958</v>
      </c>
      <c r="F86" t="str" cm="1">
        <f t="array" ref="F86">_xlfn.IFS(D86&gt;=50000,"Gold",D86&gt;=20000,"Silver",TRUE,"Bronze")</f>
        <v>Gold</v>
      </c>
      <c r="G86">
        <f t="shared" ca="1" si="4"/>
        <v>295</v>
      </c>
      <c r="H86" t="str">
        <f t="shared" ca="1" si="5"/>
        <v>At Risk</v>
      </c>
      <c r="J86" t="s">
        <v>347</v>
      </c>
    </row>
    <row r="87" spans="1:10" x14ac:dyDescent="0.3">
      <c r="A87" t="s">
        <v>250</v>
      </c>
      <c r="B87" t="s">
        <v>168</v>
      </c>
      <c r="C87" t="s">
        <v>63</v>
      </c>
      <c r="D87">
        <v>58518</v>
      </c>
      <c r="E87" s="12">
        <v>46251</v>
      </c>
      <c r="F87" t="str" cm="1">
        <f t="array" ref="F87">_xlfn.IFS(D87&gt;=50000,"Gold",D87&gt;=20000,"Silver",TRUE,"Bronze")</f>
        <v>Gold</v>
      </c>
      <c r="G87">
        <f t="shared" ca="1" si="4"/>
        <v>2</v>
      </c>
      <c r="H87" t="str">
        <f t="shared" ca="1" si="5"/>
        <v>Active</v>
      </c>
      <c r="J87" t="s">
        <v>348</v>
      </c>
    </row>
    <row r="88" spans="1:10" x14ac:dyDescent="0.3">
      <c r="A88" t="s">
        <v>251</v>
      </c>
      <c r="B88" t="s">
        <v>170</v>
      </c>
      <c r="C88" t="s">
        <v>57</v>
      </c>
      <c r="D88">
        <v>66431</v>
      </c>
      <c r="E88" s="12">
        <v>46244</v>
      </c>
      <c r="F88" t="str" cm="1">
        <f t="array" ref="F88">_xlfn.IFS(D88&gt;=50000,"Gold",D88&gt;=20000,"Silver",TRUE,"Bronze")</f>
        <v>Gold</v>
      </c>
      <c r="G88">
        <f t="shared" ca="1" si="4"/>
        <v>9</v>
      </c>
      <c r="H88" t="str">
        <f t="shared" ca="1" si="5"/>
        <v>Active</v>
      </c>
      <c r="J88" t="s">
        <v>349</v>
      </c>
    </row>
    <row r="89" spans="1:10" x14ac:dyDescent="0.3">
      <c r="A89" t="s">
        <v>252</v>
      </c>
      <c r="B89" t="s">
        <v>172</v>
      </c>
      <c r="C89" t="s">
        <v>54</v>
      </c>
      <c r="D89">
        <v>74344</v>
      </c>
      <c r="E89" s="12">
        <v>46237</v>
      </c>
      <c r="F89" t="str" cm="1">
        <f t="array" ref="F89">_xlfn.IFS(D89&gt;=50000,"Gold",D89&gt;=20000,"Silver",TRUE,"Bronze")</f>
        <v>Gold</v>
      </c>
      <c r="G89">
        <f t="shared" ca="1" si="4"/>
        <v>16</v>
      </c>
      <c r="H89" t="str">
        <f t="shared" ca="1" si="5"/>
        <v>Active</v>
      </c>
      <c r="J89" t="s">
        <v>350</v>
      </c>
    </row>
    <row r="90" spans="1:10" x14ac:dyDescent="0.3">
      <c r="A90" t="s">
        <v>253</v>
      </c>
      <c r="B90" t="s">
        <v>158</v>
      </c>
      <c r="C90" t="s">
        <v>165</v>
      </c>
      <c r="D90">
        <v>12257</v>
      </c>
      <c r="E90" s="12">
        <v>46230</v>
      </c>
      <c r="F90" t="str" cm="1">
        <f t="array" ref="F90">_xlfn.IFS(D90&gt;=50000,"Gold",D90&gt;=20000,"Silver",TRUE,"Bronze")</f>
        <v>Bronze</v>
      </c>
      <c r="G90">
        <f t="shared" ca="1" si="4"/>
        <v>23</v>
      </c>
      <c r="H90" t="str">
        <f t="shared" ca="1" si="5"/>
        <v>Active</v>
      </c>
      <c r="J90" t="s">
        <v>351</v>
      </c>
    </row>
    <row r="91" spans="1:10" x14ac:dyDescent="0.3">
      <c r="A91" t="s">
        <v>254</v>
      </c>
      <c r="B91" t="s">
        <v>161</v>
      </c>
      <c r="C91" t="s">
        <v>60</v>
      </c>
      <c r="D91">
        <v>20170</v>
      </c>
      <c r="E91" s="12">
        <v>46223</v>
      </c>
      <c r="F91" t="str" cm="1">
        <f t="array" ref="F91">_xlfn.IFS(D91&gt;=50000,"Gold",D91&gt;=20000,"Silver",TRUE,"Bronze")</f>
        <v>Silver</v>
      </c>
      <c r="G91">
        <f t="shared" ca="1" si="4"/>
        <v>30</v>
      </c>
      <c r="H91" t="str">
        <f t="shared" ca="1" si="5"/>
        <v>Active</v>
      </c>
      <c r="J91" t="s">
        <v>352</v>
      </c>
    </row>
    <row r="92" spans="1:10" x14ac:dyDescent="0.3">
      <c r="A92" t="s">
        <v>255</v>
      </c>
      <c r="B92" t="s">
        <v>19</v>
      </c>
      <c r="C92" t="s">
        <v>63</v>
      </c>
      <c r="D92">
        <v>28083</v>
      </c>
      <c r="E92" s="12">
        <v>46216</v>
      </c>
      <c r="F92" t="str" cm="1">
        <f t="array" ref="F92">_xlfn.IFS(D92&gt;=50000,"Gold",D92&gt;=20000,"Silver",TRUE,"Bronze")</f>
        <v>Silver</v>
      </c>
      <c r="G92">
        <f t="shared" ca="1" si="4"/>
        <v>37</v>
      </c>
      <c r="H92" t="str">
        <f t="shared" ca="1" si="5"/>
        <v>Active</v>
      </c>
      <c r="J92" t="s">
        <v>353</v>
      </c>
    </row>
    <row r="93" spans="1:10" x14ac:dyDescent="0.3">
      <c r="A93" t="s">
        <v>256</v>
      </c>
      <c r="B93" t="s">
        <v>164</v>
      </c>
      <c r="C93" t="s">
        <v>57</v>
      </c>
      <c r="D93">
        <v>35996</v>
      </c>
      <c r="E93" s="12">
        <v>46209</v>
      </c>
      <c r="F93" t="str" cm="1">
        <f t="array" ref="F93">_xlfn.IFS(D93&gt;=50000,"Gold",D93&gt;=20000,"Silver",TRUE,"Bronze")</f>
        <v>Silver</v>
      </c>
      <c r="G93">
        <f t="shared" ca="1" si="4"/>
        <v>44</v>
      </c>
      <c r="H93" t="str">
        <f t="shared" ca="1" si="5"/>
        <v>Active</v>
      </c>
      <c r="J93" t="s">
        <v>354</v>
      </c>
    </row>
    <row r="94" spans="1:10" x14ac:dyDescent="0.3">
      <c r="A94" t="s">
        <v>257</v>
      </c>
      <c r="B94" t="s">
        <v>23</v>
      </c>
      <c r="C94" t="s">
        <v>54</v>
      </c>
      <c r="D94">
        <v>43909</v>
      </c>
      <c r="E94" s="12">
        <v>46202</v>
      </c>
      <c r="F94" t="str" cm="1">
        <f t="array" ref="F94">_xlfn.IFS(D94&gt;=50000,"Gold",D94&gt;=20000,"Silver",TRUE,"Bronze")</f>
        <v>Silver</v>
      </c>
      <c r="G94">
        <f t="shared" ca="1" si="4"/>
        <v>51</v>
      </c>
      <c r="H94" t="str">
        <f t="shared" ca="1" si="5"/>
        <v>Active</v>
      </c>
      <c r="J94" t="s">
        <v>355</v>
      </c>
    </row>
    <row r="95" spans="1:10" x14ac:dyDescent="0.3">
      <c r="A95" t="s">
        <v>258</v>
      </c>
      <c r="B95" t="s">
        <v>168</v>
      </c>
      <c r="C95" t="s">
        <v>165</v>
      </c>
      <c r="D95">
        <v>51822</v>
      </c>
      <c r="E95" s="12">
        <v>46195</v>
      </c>
      <c r="F95" t="str" cm="1">
        <f t="array" ref="F95">_xlfn.IFS(D95&gt;=50000,"Gold",D95&gt;=20000,"Silver",TRUE,"Bronze")</f>
        <v>Gold</v>
      </c>
      <c r="G95">
        <f t="shared" ca="1" si="4"/>
        <v>58</v>
      </c>
      <c r="H95" t="str">
        <f t="shared" ca="1" si="5"/>
        <v>Active</v>
      </c>
      <c r="J95" t="s">
        <v>356</v>
      </c>
    </row>
    <row r="96" spans="1:10" x14ac:dyDescent="0.3">
      <c r="A96" t="s">
        <v>259</v>
      </c>
      <c r="B96" t="s">
        <v>170</v>
      </c>
      <c r="C96" t="s">
        <v>60</v>
      </c>
      <c r="D96">
        <v>59735</v>
      </c>
      <c r="E96" s="12">
        <v>46188</v>
      </c>
      <c r="F96" t="str" cm="1">
        <f t="array" ref="F96">_xlfn.IFS(D96&gt;=50000,"Gold",D96&gt;=20000,"Silver",TRUE,"Bronze")</f>
        <v>Gold</v>
      </c>
      <c r="G96">
        <f t="shared" ca="1" si="4"/>
        <v>65</v>
      </c>
      <c r="H96" t="str">
        <f t="shared" ca="1" si="5"/>
        <v>Active</v>
      </c>
      <c r="J96" t="s">
        <v>357</v>
      </c>
    </row>
    <row r="97" spans="1:10" x14ac:dyDescent="0.3">
      <c r="A97" t="s">
        <v>260</v>
      </c>
      <c r="B97" t="s">
        <v>172</v>
      </c>
      <c r="C97" t="s">
        <v>63</v>
      </c>
      <c r="D97">
        <v>67648</v>
      </c>
      <c r="E97" s="12">
        <v>46181</v>
      </c>
      <c r="F97" t="str" cm="1">
        <f t="array" ref="F97">_xlfn.IFS(D97&gt;=50000,"Gold",D97&gt;=20000,"Silver",TRUE,"Bronze")</f>
        <v>Gold</v>
      </c>
      <c r="G97">
        <f t="shared" ca="1" si="4"/>
        <v>72</v>
      </c>
      <c r="H97" t="str">
        <f t="shared" ca="1" si="5"/>
        <v>Active</v>
      </c>
      <c r="J97" t="s">
        <v>358</v>
      </c>
    </row>
    <row r="98" spans="1:10" x14ac:dyDescent="0.3">
      <c r="A98" t="s">
        <v>261</v>
      </c>
      <c r="B98" t="s">
        <v>158</v>
      </c>
      <c r="C98" t="s">
        <v>57</v>
      </c>
      <c r="D98">
        <v>75561</v>
      </c>
      <c r="E98" s="12">
        <v>46174</v>
      </c>
      <c r="F98" t="str" cm="1">
        <f t="array" ref="F98">_xlfn.IFS(D98&gt;=50000,"Gold",D98&gt;=20000,"Silver",TRUE,"Bronze")</f>
        <v>Gold</v>
      </c>
      <c r="G98">
        <f t="shared" ref="G98:G129" ca="1" si="6">TODAY()-E98</f>
        <v>79</v>
      </c>
      <c r="H98" t="str">
        <f t="shared" ref="H98:H129" ca="1" si="7">IF(G98&gt;=90,"At Risk","Active")</f>
        <v>Active</v>
      </c>
      <c r="J98" t="s">
        <v>359</v>
      </c>
    </row>
    <row r="99" spans="1:10" x14ac:dyDescent="0.3">
      <c r="A99" t="s">
        <v>262</v>
      </c>
      <c r="B99" t="s">
        <v>161</v>
      </c>
      <c r="C99" t="s">
        <v>54</v>
      </c>
      <c r="D99">
        <v>13474</v>
      </c>
      <c r="E99" s="12">
        <v>46167</v>
      </c>
      <c r="F99" t="str" cm="1">
        <f t="array" ref="F99">_xlfn.IFS(D99&gt;=50000,"Gold",D99&gt;=20000,"Silver",TRUE,"Bronze")</f>
        <v>Bronze</v>
      </c>
      <c r="G99">
        <f t="shared" ca="1" si="6"/>
        <v>86</v>
      </c>
      <c r="H99" t="str">
        <f t="shared" ca="1" si="7"/>
        <v>Active</v>
      </c>
      <c r="J99" t="s">
        <v>360</v>
      </c>
    </row>
    <row r="100" spans="1:10" x14ac:dyDescent="0.3">
      <c r="A100" t="s">
        <v>263</v>
      </c>
      <c r="B100" t="s">
        <v>19</v>
      </c>
      <c r="C100" t="s">
        <v>165</v>
      </c>
      <c r="D100">
        <v>21387</v>
      </c>
      <c r="E100" s="12">
        <v>46160</v>
      </c>
      <c r="F100" t="str" cm="1">
        <f t="array" ref="F100">_xlfn.IFS(D100&gt;=50000,"Gold",D100&gt;=20000,"Silver",TRUE,"Bronze")</f>
        <v>Silver</v>
      </c>
      <c r="G100">
        <f t="shared" ca="1" si="6"/>
        <v>93</v>
      </c>
      <c r="H100" t="str">
        <f t="shared" ca="1" si="7"/>
        <v>At Risk</v>
      </c>
      <c r="J100" t="s">
        <v>361</v>
      </c>
    </row>
    <row r="101" spans="1:10" x14ac:dyDescent="0.3">
      <c r="A101" t="s">
        <v>159</v>
      </c>
      <c r="B101" t="s">
        <v>164</v>
      </c>
      <c r="C101" t="s">
        <v>60</v>
      </c>
      <c r="D101">
        <v>29300</v>
      </c>
      <c r="E101" s="12">
        <v>46153</v>
      </c>
      <c r="F101" t="str" cm="1">
        <f t="array" ref="F101">_xlfn.IFS(D101&gt;=50000,"Gold",D101&gt;=20000,"Silver",TRUE,"Bronze")</f>
        <v>Silver</v>
      </c>
      <c r="G101">
        <f t="shared" ca="1" si="6"/>
        <v>100</v>
      </c>
      <c r="H101" t="str">
        <f t="shared" ca="1" si="7"/>
        <v>At Risk</v>
      </c>
      <c r="J101" t="s">
        <v>362</v>
      </c>
    </row>
    <row r="102" spans="1:10" x14ac:dyDescent="0.3">
      <c r="A102" t="s">
        <v>264</v>
      </c>
      <c r="B102" t="s">
        <v>23</v>
      </c>
      <c r="C102" t="s">
        <v>63</v>
      </c>
      <c r="D102">
        <v>37213</v>
      </c>
      <c r="E102" s="12">
        <v>46146</v>
      </c>
      <c r="F102" t="str" cm="1">
        <f t="array" ref="F102">_xlfn.IFS(D102&gt;=50000,"Gold",D102&gt;=20000,"Silver",TRUE,"Bronze")</f>
        <v>Silver</v>
      </c>
      <c r="G102">
        <f t="shared" ca="1" si="6"/>
        <v>107</v>
      </c>
      <c r="H102" t="str">
        <f t="shared" ca="1" si="7"/>
        <v>At Risk</v>
      </c>
      <c r="J102" t="s">
        <v>363</v>
      </c>
    </row>
    <row r="103" spans="1:10" x14ac:dyDescent="0.3">
      <c r="A103" t="s">
        <v>265</v>
      </c>
      <c r="B103" t="s">
        <v>168</v>
      </c>
      <c r="C103" t="s">
        <v>57</v>
      </c>
      <c r="D103">
        <v>45126</v>
      </c>
      <c r="E103" s="12">
        <v>46139</v>
      </c>
      <c r="F103" t="str" cm="1">
        <f t="array" ref="F103">_xlfn.IFS(D103&gt;=50000,"Gold",D103&gt;=20000,"Silver",TRUE,"Bronze")</f>
        <v>Silver</v>
      </c>
      <c r="G103">
        <f t="shared" ca="1" si="6"/>
        <v>114</v>
      </c>
      <c r="H103" t="str">
        <f t="shared" ca="1" si="7"/>
        <v>At Risk</v>
      </c>
      <c r="J103" t="s">
        <v>378</v>
      </c>
    </row>
    <row r="104" spans="1:10" x14ac:dyDescent="0.3">
      <c r="A104" t="s">
        <v>266</v>
      </c>
      <c r="B104" t="s">
        <v>170</v>
      </c>
      <c r="C104" t="s">
        <v>54</v>
      </c>
      <c r="D104">
        <v>53039</v>
      </c>
      <c r="E104" s="12">
        <v>46132</v>
      </c>
      <c r="F104" t="str" cm="1">
        <f t="array" ref="F104">_xlfn.IFS(D104&gt;=50000,"Gold",D104&gt;=20000,"Silver",TRUE,"Bronze")</f>
        <v>Gold</v>
      </c>
      <c r="G104">
        <f t="shared" ca="1" si="6"/>
        <v>121</v>
      </c>
      <c r="H104" t="str">
        <f t="shared" ca="1" si="7"/>
        <v>At Risk</v>
      </c>
      <c r="J104" t="s">
        <v>379</v>
      </c>
    </row>
    <row r="105" spans="1:10" x14ac:dyDescent="0.3">
      <c r="A105" t="s">
        <v>267</v>
      </c>
      <c r="B105" t="s">
        <v>172</v>
      </c>
      <c r="C105" t="s">
        <v>165</v>
      </c>
      <c r="D105">
        <v>60952</v>
      </c>
      <c r="E105" s="12">
        <v>46125</v>
      </c>
      <c r="F105" t="str" cm="1">
        <f t="array" ref="F105">_xlfn.IFS(D105&gt;=50000,"Gold",D105&gt;=20000,"Silver",TRUE,"Bronze")</f>
        <v>Gold</v>
      </c>
      <c r="G105">
        <f t="shared" ca="1" si="6"/>
        <v>128</v>
      </c>
      <c r="H105" t="str">
        <f t="shared" ca="1" si="7"/>
        <v>At Risk</v>
      </c>
      <c r="J105" t="s">
        <v>380</v>
      </c>
    </row>
    <row r="106" spans="1:10" x14ac:dyDescent="0.3">
      <c r="A106" t="s">
        <v>268</v>
      </c>
      <c r="B106" t="s">
        <v>158</v>
      </c>
      <c r="C106" t="s">
        <v>60</v>
      </c>
      <c r="D106">
        <v>68865</v>
      </c>
      <c r="E106" s="12">
        <v>46118</v>
      </c>
      <c r="F106" t="str" cm="1">
        <f t="array" ref="F106">_xlfn.IFS(D106&gt;=50000,"Gold",D106&gt;=20000,"Silver",TRUE,"Bronze")</f>
        <v>Gold</v>
      </c>
      <c r="G106">
        <f t="shared" ca="1" si="6"/>
        <v>135</v>
      </c>
      <c r="H106" t="str">
        <f t="shared" ca="1" si="7"/>
        <v>At Risk</v>
      </c>
      <c r="J106" t="s">
        <v>381</v>
      </c>
    </row>
    <row r="107" spans="1:10" x14ac:dyDescent="0.3">
      <c r="A107" t="s">
        <v>269</v>
      </c>
      <c r="B107" t="s">
        <v>161</v>
      </c>
      <c r="C107" t="s">
        <v>63</v>
      </c>
      <c r="D107">
        <v>76778</v>
      </c>
      <c r="E107" s="12">
        <v>46111</v>
      </c>
      <c r="F107" t="str" cm="1">
        <f t="array" ref="F107">_xlfn.IFS(D107&gt;=50000,"Gold",D107&gt;=20000,"Silver",TRUE,"Bronze")</f>
        <v>Gold</v>
      </c>
      <c r="G107">
        <f t="shared" ca="1" si="6"/>
        <v>142</v>
      </c>
      <c r="H107" t="str">
        <f t="shared" ca="1" si="7"/>
        <v>At Risk</v>
      </c>
      <c r="J107" t="s">
        <v>382</v>
      </c>
    </row>
    <row r="108" spans="1:10" x14ac:dyDescent="0.3">
      <c r="A108" t="s">
        <v>270</v>
      </c>
      <c r="B108" t="s">
        <v>19</v>
      </c>
      <c r="C108" t="s">
        <v>57</v>
      </c>
      <c r="D108">
        <v>14691</v>
      </c>
      <c r="E108" s="12">
        <v>46104</v>
      </c>
      <c r="F108" t="str" cm="1">
        <f t="array" ref="F108">_xlfn.IFS(D108&gt;=50000,"Gold",D108&gt;=20000,"Silver",TRUE,"Bronze")</f>
        <v>Bronze</v>
      </c>
      <c r="G108">
        <f t="shared" ca="1" si="6"/>
        <v>149</v>
      </c>
      <c r="H108" t="str">
        <f t="shared" ca="1" si="7"/>
        <v>At Risk</v>
      </c>
      <c r="J108" t="s">
        <v>383</v>
      </c>
    </row>
    <row r="109" spans="1:10" x14ac:dyDescent="0.3">
      <c r="A109" t="s">
        <v>271</v>
      </c>
      <c r="B109" t="s">
        <v>164</v>
      </c>
      <c r="C109" t="s">
        <v>54</v>
      </c>
      <c r="D109">
        <v>22604</v>
      </c>
      <c r="E109" s="12">
        <v>46097</v>
      </c>
      <c r="F109" t="str" cm="1">
        <f t="array" ref="F109">_xlfn.IFS(D109&gt;=50000,"Gold",D109&gt;=20000,"Silver",TRUE,"Bronze")</f>
        <v>Silver</v>
      </c>
      <c r="G109">
        <f t="shared" ca="1" si="6"/>
        <v>156</v>
      </c>
      <c r="H109" t="str">
        <f t="shared" ca="1" si="7"/>
        <v>At Risk</v>
      </c>
      <c r="J109" t="s">
        <v>384</v>
      </c>
    </row>
    <row r="110" spans="1:10" x14ac:dyDescent="0.3">
      <c r="A110" t="s">
        <v>272</v>
      </c>
      <c r="B110" t="s">
        <v>23</v>
      </c>
      <c r="C110" t="s">
        <v>165</v>
      </c>
      <c r="D110">
        <v>30517</v>
      </c>
      <c r="E110" s="12">
        <v>46090</v>
      </c>
      <c r="F110" t="str" cm="1">
        <f t="array" ref="F110">_xlfn.IFS(D110&gt;=50000,"Gold",D110&gt;=20000,"Silver",TRUE,"Bronze")</f>
        <v>Silver</v>
      </c>
      <c r="G110">
        <f t="shared" ca="1" si="6"/>
        <v>163</v>
      </c>
      <c r="H110" t="str">
        <f t="shared" ca="1" si="7"/>
        <v>At Risk</v>
      </c>
      <c r="J110" t="s">
        <v>385</v>
      </c>
    </row>
    <row r="111" spans="1:10" x14ac:dyDescent="0.3">
      <c r="A111" t="s">
        <v>273</v>
      </c>
      <c r="B111" t="s">
        <v>168</v>
      </c>
      <c r="C111" t="s">
        <v>60</v>
      </c>
      <c r="D111">
        <v>38430</v>
      </c>
      <c r="E111" s="12">
        <v>46083</v>
      </c>
      <c r="F111" t="str" cm="1">
        <f t="array" ref="F111">_xlfn.IFS(D111&gt;=50000,"Gold",D111&gt;=20000,"Silver",TRUE,"Bronze")</f>
        <v>Silver</v>
      </c>
      <c r="G111">
        <f t="shared" ca="1" si="6"/>
        <v>170</v>
      </c>
      <c r="H111" t="str">
        <f t="shared" ca="1" si="7"/>
        <v>At Risk</v>
      </c>
      <c r="J111" t="s">
        <v>386</v>
      </c>
    </row>
    <row r="112" spans="1:10" x14ac:dyDescent="0.3">
      <c r="A112" t="s">
        <v>274</v>
      </c>
      <c r="B112" t="s">
        <v>170</v>
      </c>
      <c r="C112" t="s">
        <v>63</v>
      </c>
      <c r="D112">
        <v>46343</v>
      </c>
      <c r="E112" s="12">
        <v>46076</v>
      </c>
      <c r="F112" t="str" cm="1">
        <f t="array" ref="F112">_xlfn.IFS(D112&gt;=50000,"Gold",D112&gt;=20000,"Silver",TRUE,"Bronze")</f>
        <v>Silver</v>
      </c>
      <c r="G112">
        <f t="shared" ca="1" si="6"/>
        <v>177</v>
      </c>
      <c r="H112" t="str">
        <f t="shared" ca="1" si="7"/>
        <v>At Risk</v>
      </c>
      <c r="J112" t="s">
        <v>387</v>
      </c>
    </row>
    <row r="113" spans="1:10" x14ac:dyDescent="0.3">
      <c r="A113" t="s">
        <v>275</v>
      </c>
      <c r="B113" t="s">
        <v>172</v>
      </c>
      <c r="C113" t="s">
        <v>57</v>
      </c>
      <c r="D113">
        <v>54256</v>
      </c>
      <c r="E113" s="12">
        <v>46069</v>
      </c>
      <c r="F113" t="str" cm="1">
        <f t="array" ref="F113">_xlfn.IFS(D113&gt;=50000,"Gold",D113&gt;=20000,"Silver",TRUE,"Bronze")</f>
        <v>Gold</v>
      </c>
      <c r="G113">
        <f t="shared" ca="1" si="6"/>
        <v>184</v>
      </c>
      <c r="H113" t="str">
        <f t="shared" ca="1" si="7"/>
        <v>At Risk</v>
      </c>
      <c r="J113" t="s">
        <v>388</v>
      </c>
    </row>
    <row r="114" spans="1:10" x14ac:dyDescent="0.3">
      <c r="A114" t="s">
        <v>276</v>
      </c>
      <c r="B114" t="s">
        <v>158</v>
      </c>
      <c r="C114" t="s">
        <v>54</v>
      </c>
      <c r="D114">
        <v>62169</v>
      </c>
      <c r="E114" s="12">
        <v>46062</v>
      </c>
      <c r="F114" t="str" cm="1">
        <f t="array" ref="F114">_xlfn.IFS(D114&gt;=50000,"Gold",D114&gt;=20000,"Silver",TRUE,"Bronze")</f>
        <v>Gold</v>
      </c>
      <c r="G114">
        <f t="shared" ca="1" si="6"/>
        <v>191</v>
      </c>
      <c r="H114" t="str">
        <f t="shared" ca="1" si="7"/>
        <v>At Risk</v>
      </c>
      <c r="J114" t="s">
        <v>389</v>
      </c>
    </row>
    <row r="115" spans="1:10" x14ac:dyDescent="0.3">
      <c r="A115" t="s">
        <v>277</v>
      </c>
      <c r="B115" t="s">
        <v>161</v>
      </c>
      <c r="C115" t="s">
        <v>165</v>
      </c>
      <c r="D115">
        <v>70082</v>
      </c>
      <c r="E115" s="12">
        <v>46055</v>
      </c>
      <c r="F115" t="str" cm="1">
        <f t="array" ref="F115">_xlfn.IFS(D115&gt;=50000,"Gold",D115&gt;=20000,"Silver",TRUE,"Bronze")</f>
        <v>Gold</v>
      </c>
      <c r="G115">
        <f t="shared" ca="1" si="6"/>
        <v>198</v>
      </c>
      <c r="H115" t="str">
        <f t="shared" ca="1" si="7"/>
        <v>At Risk</v>
      </c>
      <c r="J115" t="s">
        <v>390</v>
      </c>
    </row>
    <row r="116" spans="1:10" x14ac:dyDescent="0.3">
      <c r="A116" t="s">
        <v>278</v>
      </c>
      <c r="B116" t="s">
        <v>19</v>
      </c>
      <c r="C116" t="s">
        <v>60</v>
      </c>
      <c r="D116">
        <v>77995</v>
      </c>
      <c r="E116" s="12">
        <v>46048</v>
      </c>
      <c r="F116" t="str" cm="1">
        <f t="array" ref="F116">_xlfn.IFS(D116&gt;=50000,"Gold",D116&gt;=20000,"Silver",TRUE,"Bronze")</f>
        <v>Gold</v>
      </c>
      <c r="G116">
        <f t="shared" ca="1" si="6"/>
        <v>205</v>
      </c>
      <c r="H116" t="str">
        <f t="shared" ca="1" si="7"/>
        <v>At Risk</v>
      </c>
      <c r="J116" t="s">
        <v>391</v>
      </c>
    </row>
    <row r="117" spans="1:10" x14ac:dyDescent="0.3">
      <c r="A117" t="s">
        <v>279</v>
      </c>
      <c r="B117" t="s">
        <v>164</v>
      </c>
      <c r="C117" t="s">
        <v>63</v>
      </c>
      <c r="D117">
        <v>15908</v>
      </c>
      <c r="E117" s="12">
        <v>46041</v>
      </c>
      <c r="F117" t="str" cm="1">
        <f t="array" ref="F117">_xlfn.IFS(D117&gt;=50000,"Gold",D117&gt;=20000,"Silver",TRUE,"Bronze")</f>
        <v>Bronze</v>
      </c>
      <c r="G117">
        <f t="shared" ca="1" si="6"/>
        <v>212</v>
      </c>
      <c r="H117" t="str">
        <f t="shared" ca="1" si="7"/>
        <v>At Risk</v>
      </c>
      <c r="J117" t="s">
        <v>392</v>
      </c>
    </row>
    <row r="118" spans="1:10" x14ac:dyDescent="0.3">
      <c r="A118" t="s">
        <v>280</v>
      </c>
      <c r="B118" t="s">
        <v>23</v>
      </c>
      <c r="C118" t="s">
        <v>57</v>
      </c>
      <c r="D118">
        <v>23821</v>
      </c>
      <c r="E118" s="12">
        <v>46034</v>
      </c>
      <c r="F118" t="str" cm="1">
        <f t="array" ref="F118">_xlfn.IFS(D118&gt;=50000,"Gold",D118&gt;=20000,"Silver",TRUE,"Bronze")</f>
        <v>Silver</v>
      </c>
      <c r="G118">
        <f t="shared" ca="1" si="6"/>
        <v>219</v>
      </c>
      <c r="H118" t="str">
        <f t="shared" ca="1" si="7"/>
        <v>At Risk</v>
      </c>
      <c r="J118" t="s">
        <v>393</v>
      </c>
    </row>
    <row r="119" spans="1:10" x14ac:dyDescent="0.3">
      <c r="A119" t="s">
        <v>281</v>
      </c>
      <c r="B119" t="s">
        <v>168</v>
      </c>
      <c r="C119" t="s">
        <v>54</v>
      </c>
      <c r="D119">
        <v>31734</v>
      </c>
      <c r="E119" s="12">
        <v>46027</v>
      </c>
      <c r="F119" t="str" cm="1">
        <f t="array" ref="F119">_xlfn.IFS(D119&gt;=50000,"Gold",D119&gt;=20000,"Silver",TRUE,"Bronze")</f>
        <v>Silver</v>
      </c>
      <c r="G119">
        <f t="shared" ca="1" si="6"/>
        <v>226</v>
      </c>
      <c r="H119" t="str">
        <f t="shared" ca="1" si="7"/>
        <v>At Risk</v>
      </c>
      <c r="J119" t="s">
        <v>394</v>
      </c>
    </row>
    <row r="120" spans="1:10" x14ac:dyDescent="0.3">
      <c r="A120" t="s">
        <v>282</v>
      </c>
      <c r="B120" t="s">
        <v>170</v>
      </c>
      <c r="C120" t="s">
        <v>165</v>
      </c>
      <c r="D120">
        <v>39647</v>
      </c>
      <c r="E120" s="12">
        <v>46020</v>
      </c>
      <c r="F120" t="str" cm="1">
        <f t="array" ref="F120">_xlfn.IFS(D120&gt;=50000,"Gold",D120&gt;=20000,"Silver",TRUE,"Bronze")</f>
        <v>Silver</v>
      </c>
      <c r="G120">
        <f t="shared" ca="1" si="6"/>
        <v>233</v>
      </c>
      <c r="H120" t="str">
        <f t="shared" ca="1" si="7"/>
        <v>At Risk</v>
      </c>
      <c r="J120" t="s">
        <v>395</v>
      </c>
    </row>
    <row r="121" spans="1:10" x14ac:dyDescent="0.3">
      <c r="A121" t="s">
        <v>283</v>
      </c>
      <c r="B121" t="s">
        <v>172</v>
      </c>
      <c r="C121" t="s">
        <v>60</v>
      </c>
      <c r="D121">
        <v>47560</v>
      </c>
      <c r="E121" s="12">
        <v>46013</v>
      </c>
      <c r="F121" t="str" cm="1">
        <f t="array" ref="F121">_xlfn.IFS(D121&gt;=50000,"Gold",D121&gt;=20000,"Silver",TRUE,"Bronze")</f>
        <v>Silver</v>
      </c>
      <c r="G121">
        <f t="shared" ca="1" si="6"/>
        <v>240</v>
      </c>
      <c r="H121" t="str">
        <f t="shared" ca="1" si="7"/>
        <v>At Risk</v>
      </c>
      <c r="J121" t="s">
        <v>396</v>
      </c>
    </row>
    <row r="122" spans="1:10" x14ac:dyDescent="0.3">
      <c r="A122" t="s">
        <v>284</v>
      </c>
      <c r="B122" t="s">
        <v>158</v>
      </c>
      <c r="C122" t="s">
        <v>63</v>
      </c>
      <c r="D122">
        <v>55473</v>
      </c>
      <c r="E122" s="12">
        <v>46006</v>
      </c>
      <c r="F122" t="str" cm="1">
        <f t="array" ref="F122">_xlfn.IFS(D122&gt;=50000,"Gold",D122&gt;=20000,"Silver",TRUE,"Bronze")</f>
        <v>Gold</v>
      </c>
      <c r="G122">
        <f t="shared" ca="1" si="6"/>
        <v>247</v>
      </c>
      <c r="H122" t="str">
        <f t="shared" ca="1" si="7"/>
        <v>At Risk</v>
      </c>
      <c r="J122" t="s">
        <v>397</v>
      </c>
    </row>
    <row r="123" spans="1:10" x14ac:dyDescent="0.3">
      <c r="A123" t="s">
        <v>285</v>
      </c>
      <c r="B123" t="s">
        <v>161</v>
      </c>
      <c r="C123" t="s">
        <v>57</v>
      </c>
      <c r="D123">
        <v>63386</v>
      </c>
      <c r="E123" s="12">
        <v>45999</v>
      </c>
      <c r="F123" t="str" cm="1">
        <f t="array" ref="F123">_xlfn.IFS(D123&gt;=50000,"Gold",D123&gt;=20000,"Silver",TRUE,"Bronze")</f>
        <v>Gold</v>
      </c>
      <c r="G123">
        <f t="shared" ca="1" si="6"/>
        <v>254</v>
      </c>
      <c r="H123" t="str">
        <f t="shared" ca="1" si="7"/>
        <v>At Risk</v>
      </c>
      <c r="J123" t="s">
        <v>398</v>
      </c>
    </row>
    <row r="124" spans="1:10" x14ac:dyDescent="0.3">
      <c r="A124" t="s">
        <v>286</v>
      </c>
      <c r="B124" t="s">
        <v>19</v>
      </c>
      <c r="C124" t="s">
        <v>54</v>
      </c>
      <c r="D124">
        <v>71299</v>
      </c>
      <c r="E124" s="12">
        <v>45992</v>
      </c>
      <c r="F124" t="str" cm="1">
        <f t="array" ref="F124">_xlfn.IFS(D124&gt;=50000,"Gold",D124&gt;=20000,"Silver",TRUE,"Bronze")</f>
        <v>Gold</v>
      </c>
      <c r="G124">
        <f t="shared" ca="1" si="6"/>
        <v>261</v>
      </c>
      <c r="H124" t="str">
        <f t="shared" ca="1" si="7"/>
        <v>At Risk</v>
      </c>
      <c r="J124" t="s">
        <v>399</v>
      </c>
    </row>
    <row r="125" spans="1:10" x14ac:dyDescent="0.3">
      <c r="A125" t="s">
        <v>287</v>
      </c>
      <c r="B125" t="s">
        <v>164</v>
      </c>
      <c r="C125" t="s">
        <v>165</v>
      </c>
      <c r="D125">
        <v>9212</v>
      </c>
      <c r="E125" s="12">
        <v>45985</v>
      </c>
      <c r="F125" t="str" cm="1">
        <f t="array" ref="F125">_xlfn.IFS(D125&gt;=50000,"Gold",D125&gt;=20000,"Silver",TRUE,"Bronze")</f>
        <v>Bronze</v>
      </c>
      <c r="G125">
        <f t="shared" ca="1" si="6"/>
        <v>268</v>
      </c>
      <c r="H125" t="str">
        <f t="shared" ca="1" si="7"/>
        <v>At Risk</v>
      </c>
      <c r="J125" t="s">
        <v>400</v>
      </c>
    </row>
    <row r="126" spans="1:10" x14ac:dyDescent="0.3">
      <c r="A126" t="s">
        <v>288</v>
      </c>
      <c r="B126" t="s">
        <v>23</v>
      </c>
      <c r="C126" t="s">
        <v>60</v>
      </c>
      <c r="D126">
        <v>17125</v>
      </c>
      <c r="E126" s="12">
        <v>45978</v>
      </c>
      <c r="F126" t="str" cm="1">
        <f t="array" ref="F126">_xlfn.IFS(D126&gt;=50000,"Gold",D126&gt;=20000,"Silver",TRUE,"Bronze")</f>
        <v>Bronze</v>
      </c>
      <c r="G126">
        <f t="shared" ca="1" si="6"/>
        <v>275</v>
      </c>
      <c r="H126" t="str">
        <f t="shared" ca="1" si="7"/>
        <v>At Risk</v>
      </c>
      <c r="J126" t="s">
        <v>401</v>
      </c>
    </row>
    <row r="127" spans="1:10" x14ac:dyDescent="0.3">
      <c r="A127" t="s">
        <v>289</v>
      </c>
      <c r="B127" t="s">
        <v>168</v>
      </c>
      <c r="C127" t="s">
        <v>63</v>
      </c>
      <c r="D127">
        <v>25038</v>
      </c>
      <c r="E127" s="12">
        <v>45971</v>
      </c>
      <c r="F127" t="str" cm="1">
        <f t="array" ref="F127">_xlfn.IFS(D127&gt;=50000,"Gold",D127&gt;=20000,"Silver",TRUE,"Bronze")</f>
        <v>Silver</v>
      </c>
      <c r="G127">
        <f t="shared" ca="1" si="6"/>
        <v>282</v>
      </c>
      <c r="H127" t="str">
        <f t="shared" ca="1" si="7"/>
        <v>At Risk</v>
      </c>
      <c r="J127" t="s">
        <v>402</v>
      </c>
    </row>
    <row r="128" spans="1:10" x14ac:dyDescent="0.3">
      <c r="A128" t="s">
        <v>290</v>
      </c>
      <c r="B128" t="s">
        <v>170</v>
      </c>
      <c r="C128" t="s">
        <v>57</v>
      </c>
      <c r="D128">
        <v>32951</v>
      </c>
      <c r="E128" s="12">
        <v>45964</v>
      </c>
      <c r="F128" t="str" cm="1">
        <f t="array" ref="F128">_xlfn.IFS(D128&gt;=50000,"Gold",D128&gt;=20000,"Silver",TRUE,"Bronze")</f>
        <v>Silver</v>
      </c>
      <c r="G128">
        <f t="shared" ca="1" si="6"/>
        <v>289</v>
      </c>
      <c r="H128" t="str">
        <f t="shared" ca="1" si="7"/>
        <v>At Risk</v>
      </c>
      <c r="J128" t="s">
        <v>403</v>
      </c>
    </row>
    <row r="129" spans="1:10" x14ac:dyDescent="0.3">
      <c r="A129" t="s">
        <v>291</v>
      </c>
      <c r="B129" t="s">
        <v>172</v>
      </c>
      <c r="C129" t="s">
        <v>54</v>
      </c>
      <c r="D129">
        <v>40864</v>
      </c>
      <c r="E129" s="12">
        <v>45957</v>
      </c>
      <c r="F129" t="str" cm="1">
        <f t="array" ref="F129">_xlfn.IFS(D129&gt;=50000,"Gold",D129&gt;=20000,"Silver",TRUE,"Bronze")</f>
        <v>Silver</v>
      </c>
      <c r="G129">
        <f t="shared" ca="1" si="6"/>
        <v>296</v>
      </c>
      <c r="H129" t="str">
        <f t="shared" ca="1" si="7"/>
        <v>At Risk</v>
      </c>
      <c r="J129" t="s">
        <v>404</v>
      </c>
    </row>
    <row r="130" spans="1:10" x14ac:dyDescent="0.3">
      <c r="A130" t="s">
        <v>292</v>
      </c>
      <c r="B130" t="s">
        <v>158</v>
      </c>
      <c r="C130" t="s">
        <v>165</v>
      </c>
      <c r="D130">
        <v>48777</v>
      </c>
      <c r="E130" s="12">
        <v>46250</v>
      </c>
      <c r="F130" t="str" cm="1">
        <f t="array" ref="F130">_xlfn.IFS(D130&gt;=50000,"Gold",D130&gt;=20000,"Silver",TRUE,"Bronze")</f>
        <v>Silver</v>
      </c>
      <c r="G130">
        <f t="shared" ref="G130:G161" ca="1" si="8">TODAY()-E130</f>
        <v>3</v>
      </c>
      <c r="H130" t="str">
        <f t="shared" ref="H130:H161" ca="1" si="9">IF(G130&gt;=90,"At Risk","Active")</f>
        <v>Active</v>
      </c>
      <c r="J130" t="s">
        <v>405</v>
      </c>
    </row>
    <row r="131" spans="1:10" x14ac:dyDescent="0.3">
      <c r="A131" t="s">
        <v>293</v>
      </c>
      <c r="B131" t="s">
        <v>161</v>
      </c>
      <c r="C131" t="s">
        <v>60</v>
      </c>
      <c r="D131">
        <v>56690</v>
      </c>
      <c r="E131" s="12">
        <v>46243</v>
      </c>
      <c r="F131" t="str" cm="1">
        <f t="array" ref="F131">_xlfn.IFS(D131&gt;=50000,"Gold",D131&gt;=20000,"Silver",TRUE,"Bronze")</f>
        <v>Gold</v>
      </c>
      <c r="G131">
        <f t="shared" ca="1" si="8"/>
        <v>10</v>
      </c>
      <c r="H131" t="str">
        <f t="shared" ca="1" si="9"/>
        <v>Active</v>
      </c>
      <c r="J131" t="s">
        <v>406</v>
      </c>
    </row>
    <row r="132" spans="1:10" x14ac:dyDescent="0.3">
      <c r="A132" t="s">
        <v>294</v>
      </c>
      <c r="B132" t="s">
        <v>19</v>
      </c>
      <c r="C132" t="s">
        <v>63</v>
      </c>
      <c r="D132">
        <v>64603</v>
      </c>
      <c r="E132" s="12">
        <v>46236</v>
      </c>
      <c r="F132" t="str" cm="1">
        <f t="array" ref="F132">_xlfn.IFS(D132&gt;=50000,"Gold",D132&gt;=20000,"Silver",TRUE,"Bronze")</f>
        <v>Gold</v>
      </c>
      <c r="G132">
        <f t="shared" ca="1" si="8"/>
        <v>17</v>
      </c>
      <c r="H132" t="str">
        <f t="shared" ca="1" si="9"/>
        <v>Active</v>
      </c>
      <c r="J132" t="s">
        <v>407</v>
      </c>
    </row>
    <row r="133" spans="1:10" x14ac:dyDescent="0.3">
      <c r="A133" t="s">
        <v>295</v>
      </c>
      <c r="B133" t="s">
        <v>164</v>
      </c>
      <c r="C133" t="s">
        <v>57</v>
      </c>
      <c r="D133">
        <v>72516</v>
      </c>
      <c r="E133" s="12">
        <v>46229</v>
      </c>
      <c r="F133" t="str" cm="1">
        <f t="array" ref="F133">_xlfn.IFS(D133&gt;=50000,"Gold",D133&gt;=20000,"Silver",TRUE,"Bronze")</f>
        <v>Gold</v>
      </c>
      <c r="G133">
        <f t="shared" ca="1" si="8"/>
        <v>24</v>
      </c>
      <c r="H133" t="str">
        <f t="shared" ca="1" si="9"/>
        <v>Active</v>
      </c>
      <c r="J133" t="s">
        <v>408</v>
      </c>
    </row>
    <row r="134" spans="1:10" x14ac:dyDescent="0.3">
      <c r="A134" t="s">
        <v>296</v>
      </c>
      <c r="B134" t="s">
        <v>23</v>
      </c>
      <c r="C134" t="s">
        <v>54</v>
      </c>
      <c r="D134">
        <v>10429</v>
      </c>
      <c r="E134" s="12">
        <v>46222</v>
      </c>
      <c r="F134" t="str" cm="1">
        <f t="array" ref="F134">_xlfn.IFS(D134&gt;=50000,"Gold",D134&gt;=20000,"Silver",TRUE,"Bronze")</f>
        <v>Bronze</v>
      </c>
      <c r="G134">
        <f t="shared" ca="1" si="8"/>
        <v>31</v>
      </c>
      <c r="H134" t="str">
        <f t="shared" ca="1" si="9"/>
        <v>Active</v>
      </c>
      <c r="J134" t="s">
        <v>409</v>
      </c>
    </row>
    <row r="135" spans="1:10" x14ac:dyDescent="0.3">
      <c r="A135" t="s">
        <v>297</v>
      </c>
      <c r="B135" t="s">
        <v>168</v>
      </c>
      <c r="C135" t="s">
        <v>165</v>
      </c>
      <c r="D135">
        <v>18342</v>
      </c>
      <c r="E135" s="12">
        <v>46215</v>
      </c>
      <c r="F135" t="str" cm="1">
        <f t="array" ref="F135">_xlfn.IFS(D135&gt;=50000,"Gold",D135&gt;=20000,"Silver",TRUE,"Bronze")</f>
        <v>Bronze</v>
      </c>
      <c r="G135">
        <f t="shared" ca="1" si="8"/>
        <v>38</v>
      </c>
      <c r="H135" t="str">
        <f t="shared" ca="1" si="9"/>
        <v>Active</v>
      </c>
      <c r="J135" t="s">
        <v>410</v>
      </c>
    </row>
    <row r="136" spans="1:10" x14ac:dyDescent="0.3">
      <c r="A136" t="s">
        <v>298</v>
      </c>
      <c r="B136" t="s">
        <v>170</v>
      </c>
      <c r="C136" t="s">
        <v>60</v>
      </c>
      <c r="D136">
        <v>26255</v>
      </c>
      <c r="E136" s="12">
        <v>46208</v>
      </c>
      <c r="F136" t="str" cm="1">
        <f t="array" ref="F136">_xlfn.IFS(D136&gt;=50000,"Gold",D136&gt;=20000,"Silver",TRUE,"Bronze")</f>
        <v>Silver</v>
      </c>
      <c r="G136">
        <f t="shared" ca="1" si="8"/>
        <v>45</v>
      </c>
      <c r="H136" t="str">
        <f t="shared" ca="1" si="9"/>
        <v>Active</v>
      </c>
      <c r="J136" t="s">
        <v>411</v>
      </c>
    </row>
    <row r="137" spans="1:10" x14ac:dyDescent="0.3">
      <c r="A137" t="s">
        <v>299</v>
      </c>
      <c r="B137" t="s">
        <v>172</v>
      </c>
      <c r="C137" t="s">
        <v>63</v>
      </c>
      <c r="D137">
        <v>34168</v>
      </c>
      <c r="E137" s="12">
        <v>46201</v>
      </c>
      <c r="F137" t="str" cm="1">
        <f t="array" ref="F137">_xlfn.IFS(D137&gt;=50000,"Gold",D137&gt;=20000,"Silver",TRUE,"Bronze")</f>
        <v>Silver</v>
      </c>
      <c r="G137">
        <f t="shared" ca="1" si="8"/>
        <v>52</v>
      </c>
      <c r="H137" t="str">
        <f t="shared" ca="1" si="9"/>
        <v>Active</v>
      </c>
      <c r="J137" t="s">
        <v>412</v>
      </c>
    </row>
    <row r="138" spans="1:10" x14ac:dyDescent="0.3">
      <c r="A138" t="s">
        <v>300</v>
      </c>
      <c r="B138" t="s">
        <v>158</v>
      </c>
      <c r="C138" t="s">
        <v>57</v>
      </c>
      <c r="D138">
        <v>42081</v>
      </c>
      <c r="E138" s="12">
        <v>46194</v>
      </c>
      <c r="F138" t="str" cm="1">
        <f t="array" ref="F138">_xlfn.IFS(D138&gt;=50000,"Gold",D138&gt;=20000,"Silver",TRUE,"Bronze")</f>
        <v>Silver</v>
      </c>
      <c r="G138">
        <f t="shared" ca="1" si="8"/>
        <v>59</v>
      </c>
      <c r="H138" t="str">
        <f t="shared" ca="1" si="9"/>
        <v>Active</v>
      </c>
      <c r="J138" t="s">
        <v>413</v>
      </c>
    </row>
    <row r="139" spans="1:10" x14ac:dyDescent="0.3">
      <c r="A139" t="s">
        <v>301</v>
      </c>
      <c r="B139" t="s">
        <v>161</v>
      </c>
      <c r="C139" t="s">
        <v>54</v>
      </c>
      <c r="D139">
        <v>49994</v>
      </c>
      <c r="E139" s="12">
        <v>46187</v>
      </c>
      <c r="F139" t="str" cm="1">
        <f t="array" ref="F139">_xlfn.IFS(D139&gt;=50000,"Gold",D139&gt;=20000,"Silver",TRUE,"Bronze")</f>
        <v>Silver</v>
      </c>
      <c r="G139">
        <f t="shared" ca="1" si="8"/>
        <v>66</v>
      </c>
      <c r="H139" t="str">
        <f t="shared" ca="1" si="9"/>
        <v>Active</v>
      </c>
      <c r="J139" t="s">
        <v>414</v>
      </c>
    </row>
    <row r="140" spans="1:10" x14ac:dyDescent="0.3">
      <c r="A140" t="s">
        <v>302</v>
      </c>
      <c r="B140" t="s">
        <v>19</v>
      </c>
      <c r="C140" t="s">
        <v>165</v>
      </c>
      <c r="D140">
        <v>57907</v>
      </c>
      <c r="E140" s="12">
        <v>46180</v>
      </c>
      <c r="F140" t="str" cm="1">
        <f t="array" ref="F140">_xlfn.IFS(D140&gt;=50000,"Gold",D140&gt;=20000,"Silver",TRUE,"Bronze")</f>
        <v>Gold</v>
      </c>
      <c r="G140">
        <f t="shared" ca="1" si="8"/>
        <v>73</v>
      </c>
      <c r="H140" t="str">
        <f t="shared" ca="1" si="9"/>
        <v>Active</v>
      </c>
      <c r="J140" t="s">
        <v>415</v>
      </c>
    </row>
    <row r="141" spans="1:10" x14ac:dyDescent="0.3">
      <c r="A141" t="s">
        <v>303</v>
      </c>
      <c r="B141" t="s">
        <v>164</v>
      </c>
      <c r="C141" t="s">
        <v>60</v>
      </c>
      <c r="D141">
        <v>65820</v>
      </c>
      <c r="E141" s="12">
        <v>46173</v>
      </c>
      <c r="F141" t="str" cm="1">
        <f t="array" ref="F141">_xlfn.IFS(D141&gt;=50000,"Gold",D141&gt;=20000,"Silver",TRUE,"Bronze")</f>
        <v>Gold</v>
      </c>
      <c r="G141">
        <f t="shared" ca="1" si="8"/>
        <v>80</v>
      </c>
      <c r="H141" t="str">
        <f t="shared" ca="1" si="9"/>
        <v>Active</v>
      </c>
      <c r="J141" t="s">
        <v>416</v>
      </c>
    </row>
    <row r="142" spans="1:10" x14ac:dyDescent="0.3">
      <c r="A142" t="s">
        <v>304</v>
      </c>
      <c r="B142" t="s">
        <v>23</v>
      </c>
      <c r="C142" t="s">
        <v>63</v>
      </c>
      <c r="D142">
        <v>73733</v>
      </c>
      <c r="E142" s="12">
        <v>46166</v>
      </c>
      <c r="F142" t="str" cm="1">
        <f t="array" ref="F142">_xlfn.IFS(D142&gt;=50000,"Gold",D142&gt;=20000,"Silver",TRUE,"Bronze")</f>
        <v>Gold</v>
      </c>
      <c r="G142">
        <f t="shared" ca="1" si="8"/>
        <v>87</v>
      </c>
      <c r="H142" t="str">
        <f t="shared" ca="1" si="9"/>
        <v>Active</v>
      </c>
      <c r="J142" t="s">
        <v>417</v>
      </c>
    </row>
    <row r="143" spans="1:10" x14ac:dyDescent="0.3">
      <c r="A143" t="s">
        <v>305</v>
      </c>
      <c r="B143" t="s">
        <v>168</v>
      </c>
      <c r="C143" t="s">
        <v>57</v>
      </c>
      <c r="D143">
        <v>11646</v>
      </c>
      <c r="E143" s="12">
        <v>46159</v>
      </c>
      <c r="F143" t="str" cm="1">
        <f t="array" ref="F143">_xlfn.IFS(D143&gt;=50000,"Gold",D143&gt;=20000,"Silver",TRUE,"Bronze")</f>
        <v>Bronze</v>
      </c>
      <c r="G143">
        <f t="shared" ca="1" si="8"/>
        <v>94</v>
      </c>
      <c r="H143" t="str">
        <f t="shared" ca="1" si="9"/>
        <v>At Risk</v>
      </c>
      <c r="J143" t="s">
        <v>418</v>
      </c>
    </row>
    <row r="144" spans="1:10" x14ac:dyDescent="0.3">
      <c r="A144" t="s">
        <v>306</v>
      </c>
      <c r="B144" t="s">
        <v>170</v>
      </c>
      <c r="C144" t="s">
        <v>54</v>
      </c>
      <c r="D144">
        <v>19559</v>
      </c>
      <c r="E144" s="12">
        <v>46152</v>
      </c>
      <c r="F144" t="str" cm="1">
        <f t="array" ref="F144">_xlfn.IFS(D144&gt;=50000,"Gold",D144&gt;=20000,"Silver",TRUE,"Bronze")</f>
        <v>Bronze</v>
      </c>
      <c r="G144">
        <f t="shared" ca="1" si="8"/>
        <v>101</v>
      </c>
      <c r="H144" t="str">
        <f t="shared" ca="1" si="9"/>
        <v>At Risk</v>
      </c>
      <c r="J144" t="s">
        <v>419</v>
      </c>
    </row>
    <row r="145" spans="1:10" x14ac:dyDescent="0.3">
      <c r="A145" t="s">
        <v>307</v>
      </c>
      <c r="B145" t="s">
        <v>172</v>
      </c>
      <c r="C145" t="s">
        <v>165</v>
      </c>
      <c r="D145">
        <v>27472</v>
      </c>
      <c r="E145" s="12">
        <v>46145</v>
      </c>
      <c r="F145" t="str" cm="1">
        <f t="array" ref="F145">_xlfn.IFS(D145&gt;=50000,"Gold",D145&gt;=20000,"Silver",TRUE,"Bronze")</f>
        <v>Silver</v>
      </c>
      <c r="G145">
        <f t="shared" ca="1" si="8"/>
        <v>108</v>
      </c>
      <c r="H145" t="str">
        <f t="shared" ca="1" si="9"/>
        <v>At Risk</v>
      </c>
      <c r="J145" t="s">
        <v>420</v>
      </c>
    </row>
    <row r="146" spans="1:10" x14ac:dyDescent="0.3">
      <c r="A146" t="s">
        <v>308</v>
      </c>
      <c r="B146" t="s">
        <v>158</v>
      </c>
      <c r="C146" t="s">
        <v>60</v>
      </c>
      <c r="D146">
        <v>35385</v>
      </c>
      <c r="E146" s="12">
        <v>46138</v>
      </c>
      <c r="F146" t="str" cm="1">
        <f t="array" ref="F146">_xlfn.IFS(D146&gt;=50000,"Gold",D146&gt;=20000,"Silver",TRUE,"Bronze")</f>
        <v>Silver</v>
      </c>
      <c r="G146">
        <f t="shared" ca="1" si="8"/>
        <v>115</v>
      </c>
      <c r="H146" t="str">
        <f t="shared" ca="1" si="9"/>
        <v>At Risk</v>
      </c>
      <c r="J146" t="s">
        <v>421</v>
      </c>
    </row>
    <row r="147" spans="1:10" x14ac:dyDescent="0.3">
      <c r="A147" t="s">
        <v>309</v>
      </c>
      <c r="B147" t="s">
        <v>161</v>
      </c>
      <c r="C147" t="s">
        <v>63</v>
      </c>
      <c r="D147">
        <v>43298</v>
      </c>
      <c r="E147" s="12">
        <v>46131</v>
      </c>
      <c r="F147" t="str" cm="1">
        <f t="array" ref="F147">_xlfn.IFS(D147&gt;=50000,"Gold",D147&gt;=20000,"Silver",TRUE,"Bronze")</f>
        <v>Silver</v>
      </c>
      <c r="G147">
        <f t="shared" ca="1" si="8"/>
        <v>122</v>
      </c>
      <c r="H147" t="str">
        <f t="shared" ca="1" si="9"/>
        <v>At Risk</v>
      </c>
      <c r="J147" t="s">
        <v>422</v>
      </c>
    </row>
    <row r="148" spans="1:10" x14ac:dyDescent="0.3">
      <c r="A148" t="s">
        <v>310</v>
      </c>
      <c r="B148" t="s">
        <v>19</v>
      </c>
      <c r="C148" t="s">
        <v>57</v>
      </c>
      <c r="D148">
        <v>51211</v>
      </c>
      <c r="E148" s="12">
        <v>46124</v>
      </c>
      <c r="F148" t="str" cm="1">
        <f t="array" ref="F148">_xlfn.IFS(D148&gt;=50000,"Gold",D148&gt;=20000,"Silver",TRUE,"Bronze")</f>
        <v>Gold</v>
      </c>
      <c r="G148">
        <f t="shared" ca="1" si="8"/>
        <v>129</v>
      </c>
      <c r="H148" t="str">
        <f t="shared" ca="1" si="9"/>
        <v>At Risk</v>
      </c>
      <c r="J148" t="s">
        <v>423</v>
      </c>
    </row>
    <row r="149" spans="1:10" x14ac:dyDescent="0.3">
      <c r="A149" t="s">
        <v>311</v>
      </c>
      <c r="B149" t="s">
        <v>164</v>
      </c>
      <c r="C149" t="s">
        <v>54</v>
      </c>
      <c r="D149">
        <v>59124</v>
      </c>
      <c r="E149" s="12">
        <v>46117</v>
      </c>
      <c r="F149" t="str" cm="1">
        <f t="array" ref="F149">_xlfn.IFS(D149&gt;=50000,"Gold",D149&gt;=20000,"Silver",TRUE,"Bronze")</f>
        <v>Gold</v>
      </c>
      <c r="G149">
        <f t="shared" ca="1" si="8"/>
        <v>136</v>
      </c>
      <c r="H149" t="str">
        <f t="shared" ca="1" si="9"/>
        <v>At Risk</v>
      </c>
      <c r="J149" t="s">
        <v>424</v>
      </c>
    </row>
    <row r="150" spans="1:10" x14ac:dyDescent="0.3">
      <c r="A150" t="s">
        <v>312</v>
      </c>
      <c r="B150" t="s">
        <v>23</v>
      </c>
      <c r="C150" t="s">
        <v>165</v>
      </c>
      <c r="D150">
        <v>67037</v>
      </c>
      <c r="E150" s="12">
        <v>46110</v>
      </c>
      <c r="F150" t="str" cm="1">
        <f t="array" ref="F150">_xlfn.IFS(D150&gt;=50000,"Gold",D150&gt;=20000,"Silver",TRUE,"Bronze")</f>
        <v>Gold</v>
      </c>
      <c r="G150">
        <f t="shared" ca="1" si="8"/>
        <v>143</v>
      </c>
      <c r="H150" t="str">
        <f t="shared" ca="1" si="9"/>
        <v>At Risk</v>
      </c>
      <c r="J150" t="s">
        <v>425</v>
      </c>
    </row>
    <row r="151" spans="1:10" x14ac:dyDescent="0.3">
      <c r="A151" t="s">
        <v>313</v>
      </c>
      <c r="B151" t="s">
        <v>168</v>
      </c>
      <c r="C151" t="s">
        <v>60</v>
      </c>
      <c r="D151">
        <v>74950</v>
      </c>
      <c r="E151" s="12">
        <v>46103</v>
      </c>
      <c r="F151" t="str" cm="1">
        <f t="array" ref="F151">_xlfn.IFS(D151&gt;=50000,"Gold",D151&gt;=20000,"Silver",TRUE,"Bronze")</f>
        <v>Gold</v>
      </c>
      <c r="G151">
        <f t="shared" ca="1" si="8"/>
        <v>150</v>
      </c>
      <c r="H151" t="str">
        <f t="shared" ca="1" si="9"/>
        <v>At Risk</v>
      </c>
      <c r="J151" t="s">
        <v>426</v>
      </c>
    </row>
    <row r="152" spans="1:10" x14ac:dyDescent="0.3">
      <c r="A152" t="s">
        <v>314</v>
      </c>
      <c r="B152" t="s">
        <v>170</v>
      </c>
      <c r="C152" t="s">
        <v>63</v>
      </c>
      <c r="D152">
        <v>12863</v>
      </c>
      <c r="E152" s="12">
        <v>46096</v>
      </c>
      <c r="F152" t="str" cm="1">
        <f t="array" ref="F152">_xlfn.IFS(D152&gt;=50000,"Gold",D152&gt;=20000,"Silver",TRUE,"Bronze")</f>
        <v>Bronze</v>
      </c>
      <c r="G152">
        <f t="shared" ca="1" si="8"/>
        <v>157</v>
      </c>
      <c r="H152" t="str">
        <f t="shared" ca="1" si="9"/>
        <v>At Risk</v>
      </c>
      <c r="J152" t="s">
        <v>427</v>
      </c>
    </row>
    <row r="153" spans="1:10" x14ac:dyDescent="0.3">
      <c r="A153" t="s">
        <v>315</v>
      </c>
      <c r="B153" t="s">
        <v>172</v>
      </c>
      <c r="C153" t="s">
        <v>57</v>
      </c>
      <c r="D153">
        <v>20776</v>
      </c>
      <c r="E153" s="12">
        <v>46089</v>
      </c>
      <c r="F153" t="str" cm="1">
        <f t="array" ref="F153">_xlfn.IFS(D153&gt;=50000,"Gold",D153&gt;=20000,"Silver",TRUE,"Bronze")</f>
        <v>Silver</v>
      </c>
      <c r="G153">
        <f t="shared" ca="1" si="8"/>
        <v>164</v>
      </c>
      <c r="H153" t="str">
        <f t="shared" ca="1" si="9"/>
        <v>At Risk</v>
      </c>
      <c r="J153" t="s">
        <v>428</v>
      </c>
    </row>
    <row r="154" spans="1:10" x14ac:dyDescent="0.3">
      <c r="A154" t="s">
        <v>316</v>
      </c>
      <c r="B154" t="s">
        <v>158</v>
      </c>
      <c r="C154" t="s">
        <v>54</v>
      </c>
      <c r="D154">
        <v>28689</v>
      </c>
      <c r="E154" s="12">
        <v>46082</v>
      </c>
      <c r="F154" t="str" cm="1">
        <f t="array" ref="F154">_xlfn.IFS(D154&gt;=50000,"Gold",D154&gt;=20000,"Silver",TRUE,"Bronze")</f>
        <v>Silver</v>
      </c>
      <c r="G154">
        <f t="shared" ca="1" si="8"/>
        <v>171</v>
      </c>
      <c r="H154" t="str">
        <f t="shared" ca="1" si="9"/>
        <v>At Risk</v>
      </c>
      <c r="J154" t="s">
        <v>429</v>
      </c>
    </row>
    <row r="155" spans="1:10" x14ac:dyDescent="0.3">
      <c r="A155" t="s">
        <v>317</v>
      </c>
      <c r="B155" t="s">
        <v>161</v>
      </c>
      <c r="C155" t="s">
        <v>165</v>
      </c>
      <c r="D155">
        <v>36602</v>
      </c>
      <c r="E155" s="12">
        <v>46075</v>
      </c>
      <c r="F155" t="str" cm="1">
        <f t="array" ref="F155">_xlfn.IFS(D155&gt;=50000,"Gold",D155&gt;=20000,"Silver",TRUE,"Bronze")</f>
        <v>Silver</v>
      </c>
      <c r="G155">
        <f t="shared" ca="1" si="8"/>
        <v>178</v>
      </c>
      <c r="H155" t="str">
        <f t="shared" ca="1" si="9"/>
        <v>At Risk</v>
      </c>
      <c r="J155" t="s">
        <v>430</v>
      </c>
    </row>
    <row r="156" spans="1:10" x14ac:dyDescent="0.3">
      <c r="A156" t="s">
        <v>318</v>
      </c>
      <c r="B156" t="s">
        <v>19</v>
      </c>
      <c r="C156" t="s">
        <v>60</v>
      </c>
      <c r="D156">
        <v>44515</v>
      </c>
      <c r="E156" s="12">
        <v>46068</v>
      </c>
      <c r="F156" t="str" cm="1">
        <f t="array" ref="F156">_xlfn.IFS(D156&gt;=50000,"Gold",D156&gt;=20000,"Silver",TRUE,"Bronze")</f>
        <v>Silver</v>
      </c>
      <c r="G156">
        <f t="shared" ca="1" si="8"/>
        <v>185</v>
      </c>
      <c r="H156" t="str">
        <f t="shared" ca="1" si="9"/>
        <v>At Risk</v>
      </c>
      <c r="J156" t="s">
        <v>431</v>
      </c>
    </row>
    <row r="157" spans="1:10" x14ac:dyDescent="0.3">
      <c r="A157" t="s">
        <v>319</v>
      </c>
      <c r="B157" t="s">
        <v>164</v>
      </c>
      <c r="C157" t="s">
        <v>63</v>
      </c>
      <c r="D157">
        <v>52428</v>
      </c>
      <c r="E157" s="12">
        <v>46061</v>
      </c>
      <c r="F157" t="str" cm="1">
        <f t="array" ref="F157">_xlfn.IFS(D157&gt;=50000,"Gold",D157&gt;=20000,"Silver",TRUE,"Bronze")</f>
        <v>Gold</v>
      </c>
      <c r="G157">
        <f t="shared" ca="1" si="8"/>
        <v>192</v>
      </c>
      <c r="H157" t="str">
        <f t="shared" ca="1" si="9"/>
        <v>At Risk</v>
      </c>
      <c r="J157" t="s">
        <v>432</v>
      </c>
    </row>
    <row r="158" spans="1:10" x14ac:dyDescent="0.3">
      <c r="A158" t="s">
        <v>320</v>
      </c>
      <c r="B158" t="s">
        <v>23</v>
      </c>
      <c r="C158" t="s">
        <v>57</v>
      </c>
      <c r="D158">
        <v>60341</v>
      </c>
      <c r="E158" s="12">
        <v>46054</v>
      </c>
      <c r="F158" t="str" cm="1">
        <f t="array" ref="F158">_xlfn.IFS(D158&gt;=50000,"Gold",D158&gt;=20000,"Silver",TRUE,"Bronze")</f>
        <v>Gold</v>
      </c>
      <c r="G158">
        <f t="shared" ca="1" si="8"/>
        <v>199</v>
      </c>
      <c r="H158" t="str">
        <f t="shared" ca="1" si="9"/>
        <v>At Risk</v>
      </c>
      <c r="J158" t="s">
        <v>433</v>
      </c>
    </row>
    <row r="159" spans="1:10" x14ac:dyDescent="0.3">
      <c r="A159" t="s">
        <v>321</v>
      </c>
      <c r="B159" t="s">
        <v>168</v>
      </c>
      <c r="C159" t="s">
        <v>54</v>
      </c>
      <c r="D159">
        <v>68254</v>
      </c>
      <c r="E159" s="12">
        <v>46047</v>
      </c>
      <c r="F159" t="str" cm="1">
        <f t="array" ref="F159">_xlfn.IFS(D159&gt;=50000,"Gold",D159&gt;=20000,"Silver",TRUE,"Bronze")</f>
        <v>Gold</v>
      </c>
      <c r="G159">
        <f t="shared" ca="1" si="8"/>
        <v>206</v>
      </c>
      <c r="H159" t="str">
        <f t="shared" ca="1" si="9"/>
        <v>At Risk</v>
      </c>
      <c r="J159" t="s">
        <v>434</v>
      </c>
    </row>
    <row r="160" spans="1:10" x14ac:dyDescent="0.3">
      <c r="A160" t="s">
        <v>322</v>
      </c>
      <c r="B160" t="s">
        <v>170</v>
      </c>
      <c r="C160" t="s">
        <v>165</v>
      </c>
      <c r="D160">
        <v>76167</v>
      </c>
      <c r="E160" s="12">
        <v>46040</v>
      </c>
      <c r="F160" t="str" cm="1">
        <f t="array" ref="F160">_xlfn.IFS(D160&gt;=50000,"Gold",D160&gt;=20000,"Silver",TRUE,"Bronze")</f>
        <v>Gold</v>
      </c>
      <c r="G160">
        <f t="shared" ca="1" si="8"/>
        <v>213</v>
      </c>
      <c r="H160" t="str">
        <f t="shared" ca="1" si="9"/>
        <v>At Risk</v>
      </c>
      <c r="J160" t="s">
        <v>435</v>
      </c>
    </row>
    <row r="161" spans="1:10" x14ac:dyDescent="0.3">
      <c r="A161" t="s">
        <v>323</v>
      </c>
      <c r="B161" t="s">
        <v>172</v>
      </c>
      <c r="C161" t="s">
        <v>60</v>
      </c>
      <c r="D161">
        <v>14080</v>
      </c>
      <c r="E161" s="12">
        <v>46033</v>
      </c>
      <c r="F161" t="str" cm="1">
        <f t="array" ref="F161">_xlfn.IFS(D161&gt;=50000,"Gold",D161&gt;=20000,"Silver",TRUE,"Bronze")</f>
        <v>Bronze</v>
      </c>
      <c r="G161">
        <f t="shared" ca="1" si="8"/>
        <v>220</v>
      </c>
      <c r="H161" t="str">
        <f t="shared" ca="1" si="9"/>
        <v>At Risk</v>
      </c>
      <c r="J161" t="s">
        <v>436</v>
      </c>
    </row>
    <row r="162" spans="1:10" x14ac:dyDescent="0.3">
      <c r="A162" t="s">
        <v>324</v>
      </c>
      <c r="B162" t="s">
        <v>158</v>
      </c>
      <c r="C162" t="s">
        <v>63</v>
      </c>
      <c r="D162">
        <v>21993</v>
      </c>
      <c r="E162" s="12">
        <v>46026</v>
      </c>
      <c r="F162" t="str" cm="1">
        <f t="array" ref="F162">_xlfn.IFS(D162&gt;=50000,"Gold",D162&gt;=20000,"Silver",TRUE,"Bronze")</f>
        <v>Silver</v>
      </c>
      <c r="G162">
        <f t="shared" ref="G162:G193" ca="1" si="10">TODAY()-E162</f>
        <v>227</v>
      </c>
      <c r="H162" t="str">
        <f t="shared" ref="H162:H193" ca="1" si="11">IF(G162&gt;=90,"At Risk","Active")</f>
        <v>At Risk</v>
      </c>
      <c r="J162" t="s">
        <v>437</v>
      </c>
    </row>
    <row r="163" spans="1:10" x14ac:dyDescent="0.3">
      <c r="A163" t="s">
        <v>325</v>
      </c>
      <c r="B163" t="s">
        <v>161</v>
      </c>
      <c r="C163" t="s">
        <v>57</v>
      </c>
      <c r="D163">
        <v>29906</v>
      </c>
      <c r="E163" s="12">
        <v>46019</v>
      </c>
      <c r="F163" t="str" cm="1">
        <f t="array" ref="F163">_xlfn.IFS(D163&gt;=50000,"Gold",D163&gt;=20000,"Silver",TRUE,"Bronze")</f>
        <v>Silver</v>
      </c>
      <c r="G163">
        <f t="shared" ca="1" si="10"/>
        <v>234</v>
      </c>
      <c r="H163" t="str">
        <f t="shared" ca="1" si="11"/>
        <v>At Risk</v>
      </c>
      <c r="J163" t="s">
        <v>438</v>
      </c>
    </row>
    <row r="164" spans="1:10" x14ac:dyDescent="0.3">
      <c r="A164" t="s">
        <v>326</v>
      </c>
      <c r="B164" t="s">
        <v>19</v>
      </c>
      <c r="C164" t="s">
        <v>54</v>
      </c>
      <c r="D164">
        <v>37819</v>
      </c>
      <c r="E164" s="12">
        <v>46012</v>
      </c>
      <c r="F164" t="str" cm="1">
        <f t="array" ref="F164">_xlfn.IFS(D164&gt;=50000,"Gold",D164&gt;=20000,"Silver",TRUE,"Bronze")</f>
        <v>Silver</v>
      </c>
      <c r="G164">
        <f t="shared" ca="1" si="10"/>
        <v>241</v>
      </c>
      <c r="H164" t="str">
        <f t="shared" ca="1" si="11"/>
        <v>At Risk</v>
      </c>
      <c r="J164" t="s">
        <v>439</v>
      </c>
    </row>
    <row r="165" spans="1:10" x14ac:dyDescent="0.3">
      <c r="A165" t="s">
        <v>327</v>
      </c>
      <c r="B165" t="s">
        <v>164</v>
      </c>
      <c r="C165" t="s">
        <v>165</v>
      </c>
      <c r="D165">
        <v>45732</v>
      </c>
      <c r="E165" s="12">
        <v>46005</v>
      </c>
      <c r="F165" t="str" cm="1">
        <f t="array" ref="F165">_xlfn.IFS(D165&gt;=50000,"Gold",D165&gt;=20000,"Silver",TRUE,"Bronze")</f>
        <v>Silver</v>
      </c>
      <c r="G165">
        <f t="shared" ca="1" si="10"/>
        <v>248</v>
      </c>
      <c r="H165" t="str">
        <f t="shared" ca="1" si="11"/>
        <v>At Risk</v>
      </c>
      <c r="J165" t="s">
        <v>440</v>
      </c>
    </row>
    <row r="166" spans="1:10" x14ac:dyDescent="0.3">
      <c r="A166" t="s">
        <v>328</v>
      </c>
      <c r="B166" t="s">
        <v>23</v>
      </c>
      <c r="C166" t="s">
        <v>60</v>
      </c>
      <c r="D166">
        <v>53645</v>
      </c>
      <c r="E166" s="12">
        <v>45998</v>
      </c>
      <c r="F166" t="str" cm="1">
        <f t="array" ref="F166">_xlfn.IFS(D166&gt;=50000,"Gold",D166&gt;=20000,"Silver",TRUE,"Bronze")</f>
        <v>Gold</v>
      </c>
      <c r="G166">
        <f t="shared" ca="1" si="10"/>
        <v>255</v>
      </c>
      <c r="H166" t="str">
        <f t="shared" ca="1" si="11"/>
        <v>At Risk</v>
      </c>
      <c r="J166" t="s">
        <v>441</v>
      </c>
    </row>
    <row r="167" spans="1:10" x14ac:dyDescent="0.3">
      <c r="A167" t="s">
        <v>329</v>
      </c>
      <c r="B167" t="s">
        <v>168</v>
      </c>
      <c r="C167" t="s">
        <v>63</v>
      </c>
      <c r="D167">
        <v>61558</v>
      </c>
      <c r="E167" s="12">
        <v>45991</v>
      </c>
      <c r="F167" t="str" cm="1">
        <f t="array" ref="F167">_xlfn.IFS(D167&gt;=50000,"Gold",D167&gt;=20000,"Silver",TRUE,"Bronze")</f>
        <v>Gold</v>
      </c>
      <c r="G167">
        <f t="shared" ca="1" si="10"/>
        <v>262</v>
      </c>
      <c r="H167" t="str">
        <f t="shared" ca="1" si="11"/>
        <v>At Risk</v>
      </c>
      <c r="J167" t="s">
        <v>442</v>
      </c>
    </row>
    <row r="168" spans="1:10" x14ac:dyDescent="0.3">
      <c r="A168" t="s">
        <v>330</v>
      </c>
      <c r="B168" t="s">
        <v>170</v>
      </c>
      <c r="C168" t="s">
        <v>57</v>
      </c>
      <c r="D168">
        <v>69471</v>
      </c>
      <c r="E168" s="12">
        <v>45984</v>
      </c>
      <c r="F168" t="str" cm="1">
        <f t="array" ref="F168">_xlfn.IFS(D168&gt;=50000,"Gold",D168&gt;=20000,"Silver",TRUE,"Bronze")</f>
        <v>Gold</v>
      </c>
      <c r="G168">
        <f t="shared" ca="1" si="10"/>
        <v>269</v>
      </c>
      <c r="H168" t="str">
        <f t="shared" ca="1" si="11"/>
        <v>At Risk</v>
      </c>
      <c r="J168" t="s">
        <v>443</v>
      </c>
    </row>
    <row r="169" spans="1:10" x14ac:dyDescent="0.3">
      <c r="A169" t="s">
        <v>331</v>
      </c>
      <c r="B169" t="s">
        <v>172</v>
      </c>
      <c r="C169" t="s">
        <v>54</v>
      </c>
      <c r="D169">
        <v>77384</v>
      </c>
      <c r="E169" s="12">
        <v>45977</v>
      </c>
      <c r="F169" t="str" cm="1">
        <f t="array" ref="F169">_xlfn.IFS(D169&gt;=50000,"Gold",D169&gt;=20000,"Silver",TRUE,"Bronze")</f>
        <v>Gold</v>
      </c>
      <c r="G169">
        <f t="shared" ca="1" si="10"/>
        <v>276</v>
      </c>
      <c r="H169" t="str">
        <f t="shared" ca="1" si="11"/>
        <v>At Risk</v>
      </c>
      <c r="J169" t="s">
        <v>444</v>
      </c>
    </row>
    <row r="170" spans="1:10" x14ac:dyDescent="0.3">
      <c r="A170" t="s">
        <v>332</v>
      </c>
      <c r="B170" t="s">
        <v>158</v>
      </c>
      <c r="C170" t="s">
        <v>165</v>
      </c>
      <c r="D170">
        <v>15297</v>
      </c>
      <c r="E170" s="12">
        <v>45970</v>
      </c>
      <c r="F170" t="str" cm="1">
        <f t="array" ref="F170">_xlfn.IFS(D170&gt;=50000,"Gold",D170&gt;=20000,"Silver",TRUE,"Bronze")</f>
        <v>Bronze</v>
      </c>
      <c r="G170">
        <f t="shared" ca="1" si="10"/>
        <v>283</v>
      </c>
      <c r="H170" t="str">
        <f t="shared" ca="1" si="11"/>
        <v>At Risk</v>
      </c>
      <c r="J170" t="s">
        <v>445</v>
      </c>
    </row>
    <row r="171" spans="1:10" x14ac:dyDescent="0.3">
      <c r="A171" t="s">
        <v>333</v>
      </c>
      <c r="B171" t="s">
        <v>161</v>
      </c>
      <c r="C171" t="s">
        <v>60</v>
      </c>
      <c r="D171">
        <v>23210</v>
      </c>
      <c r="E171" s="12">
        <v>45963</v>
      </c>
      <c r="F171" t="str" cm="1">
        <f t="array" ref="F171">_xlfn.IFS(D171&gt;=50000,"Gold",D171&gt;=20000,"Silver",TRUE,"Bronze")</f>
        <v>Silver</v>
      </c>
      <c r="G171">
        <f t="shared" ca="1" si="10"/>
        <v>290</v>
      </c>
      <c r="H171" t="str">
        <f t="shared" ca="1" si="11"/>
        <v>At Risk</v>
      </c>
      <c r="J171" t="s">
        <v>446</v>
      </c>
    </row>
    <row r="172" spans="1:10" x14ac:dyDescent="0.3">
      <c r="A172" t="s">
        <v>334</v>
      </c>
      <c r="B172" t="s">
        <v>19</v>
      </c>
      <c r="C172" t="s">
        <v>63</v>
      </c>
      <c r="D172">
        <v>31123</v>
      </c>
      <c r="E172" s="12">
        <v>45956</v>
      </c>
      <c r="F172" t="str" cm="1">
        <f t="array" ref="F172">_xlfn.IFS(D172&gt;=50000,"Gold",D172&gt;=20000,"Silver",TRUE,"Bronze")</f>
        <v>Silver</v>
      </c>
      <c r="G172">
        <f t="shared" ca="1" si="10"/>
        <v>297</v>
      </c>
      <c r="H172" t="str">
        <f t="shared" ca="1" si="11"/>
        <v>At Risk</v>
      </c>
      <c r="J172" t="s">
        <v>447</v>
      </c>
    </row>
    <row r="173" spans="1:10" x14ac:dyDescent="0.3">
      <c r="A173" t="s">
        <v>335</v>
      </c>
      <c r="B173" t="s">
        <v>164</v>
      </c>
      <c r="C173" t="s">
        <v>57</v>
      </c>
      <c r="D173">
        <v>39036</v>
      </c>
      <c r="E173" s="12">
        <v>46249</v>
      </c>
      <c r="F173" t="str" cm="1">
        <f t="array" ref="F173">_xlfn.IFS(D173&gt;=50000,"Gold",D173&gt;=20000,"Silver",TRUE,"Bronze")</f>
        <v>Silver</v>
      </c>
      <c r="G173">
        <f t="shared" ca="1" si="10"/>
        <v>4</v>
      </c>
      <c r="H173" t="str">
        <f t="shared" ca="1" si="11"/>
        <v>Active</v>
      </c>
      <c r="J173" t="s">
        <v>448</v>
      </c>
    </row>
    <row r="174" spans="1:10" x14ac:dyDescent="0.3">
      <c r="A174" t="s">
        <v>336</v>
      </c>
      <c r="B174" t="s">
        <v>23</v>
      </c>
      <c r="C174" t="s">
        <v>54</v>
      </c>
      <c r="D174">
        <v>46949</v>
      </c>
      <c r="E174" s="12">
        <v>46242</v>
      </c>
      <c r="F174" t="str" cm="1">
        <f t="array" ref="F174">_xlfn.IFS(D174&gt;=50000,"Gold",D174&gt;=20000,"Silver",TRUE,"Bronze")</f>
        <v>Silver</v>
      </c>
      <c r="G174">
        <f t="shared" ca="1" si="10"/>
        <v>11</v>
      </c>
      <c r="H174" t="str">
        <f t="shared" ca="1" si="11"/>
        <v>Active</v>
      </c>
      <c r="J174" t="s">
        <v>449</v>
      </c>
    </row>
    <row r="175" spans="1:10" x14ac:dyDescent="0.3">
      <c r="A175" t="s">
        <v>337</v>
      </c>
      <c r="B175" t="s">
        <v>168</v>
      </c>
      <c r="C175" t="s">
        <v>165</v>
      </c>
      <c r="D175">
        <v>54862</v>
      </c>
      <c r="E175" s="12">
        <v>46235</v>
      </c>
      <c r="F175" t="str" cm="1">
        <f t="array" ref="F175">_xlfn.IFS(D175&gt;=50000,"Gold",D175&gt;=20000,"Silver",TRUE,"Bronze")</f>
        <v>Gold</v>
      </c>
      <c r="G175">
        <f t="shared" ca="1" si="10"/>
        <v>18</v>
      </c>
      <c r="H175" t="str">
        <f t="shared" ca="1" si="11"/>
        <v>Active</v>
      </c>
      <c r="J175" t="s">
        <v>450</v>
      </c>
    </row>
    <row r="176" spans="1:10" x14ac:dyDescent="0.3">
      <c r="A176" t="s">
        <v>338</v>
      </c>
      <c r="B176" t="s">
        <v>170</v>
      </c>
      <c r="C176" t="s">
        <v>60</v>
      </c>
      <c r="D176">
        <v>62775</v>
      </c>
      <c r="E176" s="12">
        <v>46228</v>
      </c>
      <c r="F176" t="str" cm="1">
        <f t="array" ref="F176">_xlfn.IFS(D176&gt;=50000,"Gold",D176&gt;=20000,"Silver",TRUE,"Bronze")</f>
        <v>Gold</v>
      </c>
      <c r="G176">
        <f t="shared" ca="1" si="10"/>
        <v>25</v>
      </c>
      <c r="H176" t="str">
        <f t="shared" ca="1" si="11"/>
        <v>Active</v>
      </c>
      <c r="J176" t="s">
        <v>451</v>
      </c>
    </row>
    <row r="177" spans="1:10" x14ac:dyDescent="0.3">
      <c r="A177" t="s">
        <v>339</v>
      </c>
      <c r="B177" t="s">
        <v>172</v>
      </c>
      <c r="C177" t="s">
        <v>63</v>
      </c>
      <c r="D177">
        <v>70688</v>
      </c>
      <c r="E177" s="12">
        <v>46221</v>
      </c>
      <c r="F177" t="str" cm="1">
        <f t="array" ref="F177">_xlfn.IFS(D177&gt;=50000,"Gold",D177&gt;=20000,"Silver",TRUE,"Bronze")</f>
        <v>Gold</v>
      </c>
      <c r="G177">
        <f t="shared" ca="1" si="10"/>
        <v>32</v>
      </c>
      <c r="H177" t="str">
        <f t="shared" ca="1" si="11"/>
        <v>Active</v>
      </c>
      <c r="J177" t="s">
        <v>452</v>
      </c>
    </row>
    <row r="178" spans="1:10" x14ac:dyDescent="0.3">
      <c r="A178" t="s">
        <v>340</v>
      </c>
      <c r="B178" t="s">
        <v>158</v>
      </c>
      <c r="C178" t="s">
        <v>57</v>
      </c>
      <c r="D178">
        <v>8601</v>
      </c>
      <c r="E178" s="12">
        <v>46214</v>
      </c>
      <c r="F178" t="str" cm="1">
        <f t="array" ref="F178">_xlfn.IFS(D178&gt;=50000,"Gold",D178&gt;=20000,"Silver",TRUE,"Bronze")</f>
        <v>Bronze</v>
      </c>
      <c r="G178">
        <f t="shared" ca="1" si="10"/>
        <v>39</v>
      </c>
      <c r="H178" t="str">
        <f t="shared" ca="1" si="11"/>
        <v>Active</v>
      </c>
      <c r="J178" t="s">
        <v>453</v>
      </c>
    </row>
    <row r="179" spans="1:10" x14ac:dyDescent="0.3">
      <c r="A179" t="s">
        <v>341</v>
      </c>
      <c r="B179" t="s">
        <v>161</v>
      </c>
      <c r="C179" t="s">
        <v>54</v>
      </c>
      <c r="D179">
        <v>16514</v>
      </c>
      <c r="E179" s="12">
        <v>46207</v>
      </c>
      <c r="F179" t="str" cm="1">
        <f t="array" ref="F179">_xlfn.IFS(D179&gt;=50000,"Gold",D179&gt;=20000,"Silver",TRUE,"Bronze")</f>
        <v>Bronze</v>
      </c>
      <c r="G179">
        <f t="shared" ca="1" si="10"/>
        <v>46</v>
      </c>
      <c r="H179" t="str">
        <f t="shared" ca="1" si="11"/>
        <v>Active</v>
      </c>
      <c r="J179" t="s">
        <v>454</v>
      </c>
    </row>
    <row r="180" spans="1:10" x14ac:dyDescent="0.3">
      <c r="A180" t="s">
        <v>342</v>
      </c>
      <c r="B180" t="s">
        <v>19</v>
      </c>
      <c r="C180" t="s">
        <v>165</v>
      </c>
      <c r="D180">
        <v>24427</v>
      </c>
      <c r="E180" s="12">
        <v>46200</v>
      </c>
      <c r="F180" t="str" cm="1">
        <f t="array" ref="F180">_xlfn.IFS(D180&gt;=50000,"Gold",D180&gt;=20000,"Silver",TRUE,"Bronze")</f>
        <v>Silver</v>
      </c>
      <c r="G180">
        <f t="shared" ca="1" si="10"/>
        <v>53</v>
      </c>
      <c r="H180" t="str">
        <f t="shared" ca="1" si="11"/>
        <v>Active</v>
      </c>
      <c r="J180" t="s">
        <v>455</v>
      </c>
    </row>
    <row r="181" spans="1:10" x14ac:dyDescent="0.3">
      <c r="A181" t="s">
        <v>343</v>
      </c>
      <c r="B181" t="s">
        <v>164</v>
      </c>
      <c r="C181" t="s">
        <v>60</v>
      </c>
      <c r="D181">
        <v>32340</v>
      </c>
      <c r="E181" s="12">
        <v>46193</v>
      </c>
      <c r="F181" t="str" cm="1">
        <f t="array" ref="F181">_xlfn.IFS(D181&gt;=50000,"Gold",D181&gt;=20000,"Silver",TRUE,"Bronze")</f>
        <v>Silver</v>
      </c>
      <c r="G181">
        <f t="shared" ca="1" si="10"/>
        <v>60</v>
      </c>
      <c r="H181" t="str">
        <f t="shared" ca="1" si="11"/>
        <v>Active</v>
      </c>
      <c r="J181" t="s">
        <v>456</v>
      </c>
    </row>
    <row r="182" spans="1:10" x14ac:dyDescent="0.3">
      <c r="A182" t="s">
        <v>344</v>
      </c>
      <c r="B182" t="s">
        <v>23</v>
      </c>
      <c r="C182" t="s">
        <v>63</v>
      </c>
      <c r="D182">
        <v>40253</v>
      </c>
      <c r="E182" s="12">
        <v>46186</v>
      </c>
      <c r="F182" t="str" cm="1">
        <f t="array" ref="F182">_xlfn.IFS(D182&gt;=50000,"Gold",D182&gt;=20000,"Silver",TRUE,"Bronze")</f>
        <v>Silver</v>
      </c>
      <c r="G182">
        <f t="shared" ca="1" si="10"/>
        <v>67</v>
      </c>
      <c r="H182" t="str">
        <f t="shared" ca="1" si="11"/>
        <v>Active</v>
      </c>
      <c r="J182" t="s">
        <v>457</v>
      </c>
    </row>
    <row r="183" spans="1:10" x14ac:dyDescent="0.3">
      <c r="A183" t="s">
        <v>345</v>
      </c>
      <c r="B183" t="s">
        <v>168</v>
      </c>
      <c r="C183" t="s">
        <v>57</v>
      </c>
      <c r="D183">
        <v>48166</v>
      </c>
      <c r="E183" s="12">
        <v>46179</v>
      </c>
      <c r="F183" t="str" cm="1">
        <f t="array" ref="F183">_xlfn.IFS(D183&gt;=50000,"Gold",D183&gt;=20000,"Silver",TRUE,"Bronze")</f>
        <v>Silver</v>
      </c>
      <c r="G183">
        <f t="shared" ca="1" si="10"/>
        <v>74</v>
      </c>
      <c r="H183" t="str">
        <f t="shared" ca="1" si="11"/>
        <v>Active</v>
      </c>
      <c r="J183" t="s">
        <v>458</v>
      </c>
    </row>
    <row r="184" spans="1:10" x14ac:dyDescent="0.3">
      <c r="A184" t="s">
        <v>346</v>
      </c>
      <c r="B184" t="s">
        <v>170</v>
      </c>
      <c r="C184" t="s">
        <v>54</v>
      </c>
      <c r="D184">
        <v>56079</v>
      </c>
      <c r="E184" s="12">
        <v>46172</v>
      </c>
      <c r="F184" t="str" cm="1">
        <f t="array" ref="F184">_xlfn.IFS(D184&gt;=50000,"Gold",D184&gt;=20000,"Silver",TRUE,"Bronze")</f>
        <v>Gold</v>
      </c>
      <c r="G184">
        <f t="shared" ca="1" si="10"/>
        <v>81</v>
      </c>
      <c r="H184" t="str">
        <f t="shared" ca="1" si="11"/>
        <v>Active</v>
      </c>
      <c r="J184" t="s">
        <v>459</v>
      </c>
    </row>
    <row r="185" spans="1:10" x14ac:dyDescent="0.3">
      <c r="A185" t="s">
        <v>347</v>
      </c>
      <c r="B185" t="s">
        <v>172</v>
      </c>
      <c r="C185" t="s">
        <v>165</v>
      </c>
      <c r="D185">
        <v>63992</v>
      </c>
      <c r="E185" s="12">
        <v>46165</v>
      </c>
      <c r="F185" t="str" cm="1">
        <f t="array" ref="F185">_xlfn.IFS(D185&gt;=50000,"Gold",D185&gt;=20000,"Silver",TRUE,"Bronze")</f>
        <v>Gold</v>
      </c>
      <c r="G185">
        <f t="shared" ca="1" si="10"/>
        <v>88</v>
      </c>
      <c r="H185" t="str">
        <f t="shared" ca="1" si="11"/>
        <v>Active</v>
      </c>
      <c r="J185" t="s">
        <v>460</v>
      </c>
    </row>
    <row r="186" spans="1:10" x14ac:dyDescent="0.3">
      <c r="A186" t="s">
        <v>348</v>
      </c>
      <c r="B186" t="s">
        <v>158</v>
      </c>
      <c r="C186" t="s">
        <v>60</v>
      </c>
      <c r="D186">
        <v>71905</v>
      </c>
      <c r="E186" s="12">
        <v>46158</v>
      </c>
      <c r="F186" t="str" cm="1">
        <f t="array" ref="F186">_xlfn.IFS(D186&gt;=50000,"Gold",D186&gt;=20000,"Silver",TRUE,"Bronze")</f>
        <v>Gold</v>
      </c>
      <c r="G186">
        <f t="shared" ca="1" si="10"/>
        <v>95</v>
      </c>
      <c r="H186" t="str">
        <f t="shared" ca="1" si="11"/>
        <v>At Risk</v>
      </c>
      <c r="J186" t="s">
        <v>461</v>
      </c>
    </row>
    <row r="187" spans="1:10" x14ac:dyDescent="0.3">
      <c r="A187" t="s">
        <v>349</v>
      </c>
      <c r="B187" t="s">
        <v>161</v>
      </c>
      <c r="C187" t="s">
        <v>63</v>
      </c>
      <c r="D187">
        <v>9818</v>
      </c>
      <c r="E187" s="12">
        <v>46151</v>
      </c>
      <c r="F187" t="str" cm="1">
        <f t="array" ref="F187">_xlfn.IFS(D187&gt;=50000,"Gold",D187&gt;=20000,"Silver",TRUE,"Bronze")</f>
        <v>Bronze</v>
      </c>
      <c r="G187">
        <f t="shared" ca="1" si="10"/>
        <v>102</v>
      </c>
      <c r="H187" t="str">
        <f t="shared" ca="1" si="11"/>
        <v>At Risk</v>
      </c>
      <c r="J187" t="s">
        <v>462</v>
      </c>
    </row>
    <row r="188" spans="1:10" x14ac:dyDescent="0.3">
      <c r="A188" t="s">
        <v>350</v>
      </c>
      <c r="B188" t="s">
        <v>19</v>
      </c>
      <c r="C188" t="s">
        <v>57</v>
      </c>
      <c r="D188">
        <v>17731</v>
      </c>
      <c r="E188" s="12">
        <v>46144</v>
      </c>
      <c r="F188" t="str" cm="1">
        <f t="array" ref="F188">_xlfn.IFS(D188&gt;=50000,"Gold",D188&gt;=20000,"Silver",TRUE,"Bronze")</f>
        <v>Bronze</v>
      </c>
      <c r="G188">
        <f t="shared" ca="1" si="10"/>
        <v>109</v>
      </c>
      <c r="H188" t="str">
        <f t="shared" ca="1" si="11"/>
        <v>At Risk</v>
      </c>
      <c r="J188" t="s">
        <v>463</v>
      </c>
    </row>
    <row r="189" spans="1:10" x14ac:dyDescent="0.3">
      <c r="A189" t="s">
        <v>351</v>
      </c>
      <c r="B189" t="s">
        <v>164</v>
      </c>
      <c r="C189" t="s">
        <v>54</v>
      </c>
      <c r="D189">
        <v>25644</v>
      </c>
      <c r="E189" s="12">
        <v>46137</v>
      </c>
      <c r="F189" t="str" cm="1">
        <f t="array" ref="F189">_xlfn.IFS(D189&gt;=50000,"Gold",D189&gt;=20000,"Silver",TRUE,"Bronze")</f>
        <v>Silver</v>
      </c>
      <c r="G189">
        <f t="shared" ca="1" si="10"/>
        <v>116</v>
      </c>
      <c r="H189" t="str">
        <f t="shared" ca="1" si="11"/>
        <v>At Risk</v>
      </c>
      <c r="J189" t="s">
        <v>464</v>
      </c>
    </row>
    <row r="190" spans="1:10" x14ac:dyDescent="0.3">
      <c r="A190" t="s">
        <v>352</v>
      </c>
      <c r="B190" t="s">
        <v>23</v>
      </c>
      <c r="C190" t="s">
        <v>165</v>
      </c>
      <c r="D190">
        <v>33557</v>
      </c>
      <c r="E190" s="12">
        <v>46130</v>
      </c>
      <c r="F190" t="str" cm="1">
        <f t="array" ref="F190">_xlfn.IFS(D190&gt;=50000,"Gold",D190&gt;=20000,"Silver",TRUE,"Bronze")</f>
        <v>Silver</v>
      </c>
      <c r="G190">
        <f t="shared" ca="1" si="10"/>
        <v>123</v>
      </c>
      <c r="H190" t="str">
        <f t="shared" ca="1" si="11"/>
        <v>At Risk</v>
      </c>
      <c r="J190" t="s">
        <v>465</v>
      </c>
    </row>
    <row r="191" spans="1:10" x14ac:dyDescent="0.3">
      <c r="A191" t="s">
        <v>353</v>
      </c>
      <c r="B191" t="s">
        <v>168</v>
      </c>
      <c r="C191" t="s">
        <v>60</v>
      </c>
      <c r="D191">
        <v>41470</v>
      </c>
      <c r="E191" s="12">
        <v>46123</v>
      </c>
      <c r="F191" t="str" cm="1">
        <f t="array" ref="F191">_xlfn.IFS(D191&gt;=50000,"Gold",D191&gt;=20000,"Silver",TRUE,"Bronze")</f>
        <v>Silver</v>
      </c>
      <c r="G191">
        <f t="shared" ca="1" si="10"/>
        <v>130</v>
      </c>
      <c r="H191" t="str">
        <f t="shared" ca="1" si="11"/>
        <v>At Risk</v>
      </c>
      <c r="J191" t="s">
        <v>466</v>
      </c>
    </row>
    <row r="192" spans="1:10" x14ac:dyDescent="0.3">
      <c r="A192" t="s">
        <v>354</v>
      </c>
      <c r="B192" t="s">
        <v>170</v>
      </c>
      <c r="C192" t="s">
        <v>63</v>
      </c>
      <c r="D192">
        <v>49383</v>
      </c>
      <c r="E192" s="12">
        <v>46116</v>
      </c>
      <c r="F192" t="str" cm="1">
        <f t="array" ref="F192">_xlfn.IFS(D192&gt;=50000,"Gold",D192&gt;=20000,"Silver",TRUE,"Bronze")</f>
        <v>Silver</v>
      </c>
      <c r="G192">
        <f t="shared" ca="1" si="10"/>
        <v>137</v>
      </c>
      <c r="H192" t="str">
        <f t="shared" ca="1" si="11"/>
        <v>At Risk</v>
      </c>
      <c r="J192" t="s">
        <v>467</v>
      </c>
    </row>
    <row r="193" spans="1:10" x14ac:dyDescent="0.3">
      <c r="A193" t="s">
        <v>355</v>
      </c>
      <c r="B193" t="s">
        <v>172</v>
      </c>
      <c r="C193" t="s">
        <v>57</v>
      </c>
      <c r="D193">
        <v>57296</v>
      </c>
      <c r="E193" s="12">
        <v>46109</v>
      </c>
      <c r="F193" t="str" cm="1">
        <f t="array" ref="F193">_xlfn.IFS(D193&gt;=50000,"Gold",D193&gt;=20000,"Silver",TRUE,"Bronze")</f>
        <v>Gold</v>
      </c>
      <c r="G193">
        <f t="shared" ca="1" si="10"/>
        <v>144</v>
      </c>
      <c r="H193" t="str">
        <f t="shared" ca="1" si="11"/>
        <v>At Risk</v>
      </c>
      <c r="J193" t="s">
        <v>468</v>
      </c>
    </row>
    <row r="194" spans="1:10" x14ac:dyDescent="0.3">
      <c r="A194" t="s">
        <v>356</v>
      </c>
      <c r="B194" t="s">
        <v>158</v>
      </c>
      <c r="C194" t="s">
        <v>54</v>
      </c>
      <c r="D194">
        <v>65209</v>
      </c>
      <c r="E194" s="12">
        <v>46102</v>
      </c>
      <c r="F194" t="str" cm="1">
        <f t="array" ref="F194">_xlfn.IFS(D194&gt;=50000,"Gold",D194&gt;=20000,"Silver",TRUE,"Bronze")</f>
        <v>Gold</v>
      </c>
      <c r="G194">
        <f t="shared" ref="G194:G201" ca="1" si="12">TODAY()-E194</f>
        <v>151</v>
      </c>
      <c r="H194" t="str">
        <f t="shared" ref="H194:H201" ca="1" si="13">IF(G194&gt;=90,"At Risk","Active")</f>
        <v>At Risk</v>
      </c>
      <c r="J194" t="s">
        <v>469</v>
      </c>
    </row>
    <row r="195" spans="1:10" x14ac:dyDescent="0.3">
      <c r="A195" t="s">
        <v>357</v>
      </c>
      <c r="B195" t="s">
        <v>161</v>
      </c>
      <c r="C195" t="s">
        <v>165</v>
      </c>
      <c r="D195">
        <v>73122</v>
      </c>
      <c r="E195" s="12">
        <v>46095</v>
      </c>
      <c r="F195" t="str" cm="1">
        <f t="array" ref="F195">_xlfn.IFS(D195&gt;=50000,"Gold",D195&gt;=20000,"Silver",TRUE,"Bronze")</f>
        <v>Gold</v>
      </c>
      <c r="G195">
        <f t="shared" ca="1" si="12"/>
        <v>158</v>
      </c>
      <c r="H195" t="str">
        <f t="shared" ca="1" si="13"/>
        <v>At Risk</v>
      </c>
      <c r="J195" t="s">
        <v>470</v>
      </c>
    </row>
    <row r="196" spans="1:10" x14ac:dyDescent="0.3">
      <c r="A196" t="s">
        <v>358</v>
      </c>
      <c r="B196" t="s">
        <v>19</v>
      </c>
      <c r="C196" t="s">
        <v>60</v>
      </c>
      <c r="D196">
        <v>11035</v>
      </c>
      <c r="E196" s="12">
        <v>46088</v>
      </c>
      <c r="F196" t="str" cm="1">
        <f t="array" ref="F196">_xlfn.IFS(D196&gt;=50000,"Gold",D196&gt;=20000,"Silver",TRUE,"Bronze")</f>
        <v>Bronze</v>
      </c>
      <c r="G196">
        <f t="shared" ca="1" si="12"/>
        <v>165</v>
      </c>
      <c r="H196" t="str">
        <f t="shared" ca="1" si="13"/>
        <v>At Risk</v>
      </c>
      <c r="J196" t="s">
        <v>471</v>
      </c>
    </row>
    <row r="197" spans="1:10" x14ac:dyDescent="0.3">
      <c r="A197" t="s">
        <v>359</v>
      </c>
      <c r="B197" t="s">
        <v>164</v>
      </c>
      <c r="C197" t="s">
        <v>63</v>
      </c>
      <c r="D197">
        <v>18948</v>
      </c>
      <c r="E197" s="12">
        <v>46081</v>
      </c>
      <c r="F197" t="str" cm="1">
        <f t="array" ref="F197">_xlfn.IFS(D197&gt;=50000,"Gold",D197&gt;=20000,"Silver",TRUE,"Bronze")</f>
        <v>Bronze</v>
      </c>
      <c r="G197">
        <f t="shared" ca="1" si="12"/>
        <v>172</v>
      </c>
      <c r="H197" t="str">
        <f t="shared" ca="1" si="13"/>
        <v>At Risk</v>
      </c>
      <c r="J197" t="s">
        <v>472</v>
      </c>
    </row>
    <row r="198" spans="1:10" x14ac:dyDescent="0.3">
      <c r="A198" t="s">
        <v>360</v>
      </c>
      <c r="B198" t="s">
        <v>23</v>
      </c>
      <c r="C198" t="s">
        <v>57</v>
      </c>
      <c r="D198">
        <v>26861</v>
      </c>
      <c r="E198" s="12">
        <v>46074</v>
      </c>
      <c r="F198" t="str" cm="1">
        <f t="array" ref="F198">_xlfn.IFS(D198&gt;=50000,"Gold",D198&gt;=20000,"Silver",TRUE,"Bronze")</f>
        <v>Silver</v>
      </c>
      <c r="G198">
        <f t="shared" ca="1" si="12"/>
        <v>179</v>
      </c>
      <c r="H198" t="str">
        <f t="shared" ca="1" si="13"/>
        <v>At Risk</v>
      </c>
      <c r="J198" t="s">
        <v>473</v>
      </c>
    </row>
    <row r="199" spans="1:10" x14ac:dyDescent="0.3">
      <c r="A199" t="s">
        <v>361</v>
      </c>
      <c r="B199" t="s">
        <v>168</v>
      </c>
      <c r="C199" t="s">
        <v>54</v>
      </c>
      <c r="D199">
        <v>34774</v>
      </c>
      <c r="E199" s="12">
        <v>46067</v>
      </c>
      <c r="F199" t="str" cm="1">
        <f t="array" ref="F199">_xlfn.IFS(D199&gt;=50000,"Gold",D199&gt;=20000,"Silver",TRUE,"Bronze")</f>
        <v>Silver</v>
      </c>
      <c r="G199">
        <f t="shared" ca="1" si="12"/>
        <v>186</v>
      </c>
      <c r="H199" t="str">
        <f t="shared" ca="1" si="13"/>
        <v>At Risk</v>
      </c>
      <c r="J199" t="s">
        <v>474</v>
      </c>
    </row>
    <row r="200" spans="1:10" x14ac:dyDescent="0.3">
      <c r="A200" t="s">
        <v>362</v>
      </c>
      <c r="B200" t="s">
        <v>170</v>
      </c>
      <c r="C200" t="s">
        <v>165</v>
      </c>
      <c r="D200">
        <v>42687</v>
      </c>
      <c r="E200" s="12">
        <v>46060</v>
      </c>
      <c r="F200" t="str" cm="1">
        <f t="array" ref="F200">_xlfn.IFS(D200&gt;=50000,"Gold",D200&gt;=20000,"Silver",TRUE,"Bronze")</f>
        <v>Silver</v>
      </c>
      <c r="G200">
        <f t="shared" ca="1" si="12"/>
        <v>193</v>
      </c>
      <c r="H200" t="str">
        <f t="shared" ca="1" si="13"/>
        <v>At Risk</v>
      </c>
      <c r="J200" t="s">
        <v>475</v>
      </c>
    </row>
    <row r="201" spans="1:10" x14ac:dyDescent="0.3">
      <c r="A201" t="s">
        <v>363</v>
      </c>
      <c r="B201" t="s">
        <v>172</v>
      </c>
      <c r="C201" t="s">
        <v>60</v>
      </c>
      <c r="D201">
        <v>50600</v>
      </c>
      <c r="E201" s="12">
        <v>46053</v>
      </c>
      <c r="F201" t="str" cm="1">
        <f t="array" ref="F201">_xlfn.IFS(D201&gt;=50000,"Gold",D201&gt;=20000,"Silver",TRUE,"Bronze")</f>
        <v>Gold</v>
      </c>
      <c r="G201">
        <f t="shared" ca="1" si="12"/>
        <v>200</v>
      </c>
      <c r="H201" t="str">
        <f t="shared" ca="1" si="13"/>
        <v>At Risk</v>
      </c>
      <c r="J201" t="s">
        <v>476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Sheet5</vt:lpstr>
      <vt:lpstr>Notes</vt:lpstr>
      <vt:lpstr>Practice 1</vt:lpstr>
      <vt:lpstr>Exercise 3</vt:lpstr>
      <vt:lpstr>Exercise 7</vt:lpstr>
      <vt:lpstr>Sheet3</vt:lpstr>
      <vt:lpstr>Exercise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Ashrey</dc:creator>
  <cp:lastModifiedBy>Mahmoud Ashrey</cp:lastModifiedBy>
  <dcterms:created xsi:type="dcterms:W3CDTF">2026-08-18T18:13:27Z</dcterms:created>
  <dcterms:modified xsi:type="dcterms:W3CDTF">2026-08-20T00:42:49Z</dcterms:modified>
</cp:coreProperties>
</file>